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\Downloads\Finance_Project\ETFs_Risk_Methodology\outputs\"/>
    </mc:Choice>
  </mc:AlternateContent>
  <xr:revisionPtr revIDLastSave="0" documentId="8_{6B987ED8-36DC-44E6-B991-95864E62A64F}" xr6:coauthVersionLast="47" xr6:coauthVersionMax="47" xr10:uidLastSave="{00000000-0000-0000-0000-000000000000}"/>
  <bookViews>
    <workbookView xWindow="-110" yWindow="-110" windowWidth="19420" windowHeight="11020" activeTab="2" xr2:uid="{E2F8B703-368D-4BC3-9206-E35F185F3AF4}"/>
  </bookViews>
  <sheets>
    <sheet name="Portfolio_Returns" sheetId="2" r:id="rId1"/>
    <sheet name="Portfolio_Calc" sheetId="1" r:id="rId2"/>
    <sheet name="Dashboard" sheetId="4" r:id="rId3"/>
    <sheet name="Sheet1" sheetId="8" r:id="rId4"/>
    <sheet name="Summary" sheetId="6" r:id="rId5"/>
    <sheet name="CorrMatrix" sheetId="7" r:id="rId6"/>
  </sheets>
  <definedNames>
    <definedName name="ExternalData_1" localSheetId="0" hidden="1">Portfolio_Returns!$A$1:$B$1256</definedName>
    <definedName name="ExternalData_1" localSheetId="4" hidden="1">Summary!$A$1:$I$14</definedName>
    <definedName name="ExternalData_2" localSheetId="5" hidden="1">'CorrMatrix'!$A$1:$M$13</definedName>
    <definedName name="ExternalData_2" localSheetId="2" hidden="1">Dashboard!$L$5:$X$17</definedName>
    <definedName name="_xlnm.Print_Area" localSheetId="2">Dashboard!$A$1:$Y$28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rtfolio_Returns_ef748084-2a3d-4fbd-837d-7d9164fc3ded" name="Portfolio_Returns" connection="Query - Portfolio_Returns"/>
          <x15:modelTable id="Summary_eb5f261d-8bb3-4d8e-947f-28598239fadc" name="Summary" connection="Query - Summary"/>
          <x15:modelTable id="CorrMatrix_42b876e2-9e9e-4438-999c-16fedc2789c1" name="CorrMatrix" connection="Query - CorrMatrix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H14" i="1"/>
  <c r="E2" i="4"/>
  <c r="I9" i="1"/>
  <c r="I5" i="1" a="1"/>
  <c r="I5" i="1" s="1"/>
  <c r="I6" i="1" s="1" a="1"/>
  <c r="I6" i="1" s="1"/>
  <c r="I8" i="1" s="1"/>
  <c r="I4" i="1" a="1"/>
  <c r="I4" i="1" s="1"/>
  <c r="I3" i="1"/>
  <c r="I2" i="1"/>
  <c r="C1256" i="1"/>
  <c r="Q2" i="4"/>
  <c r="P2" i="8" a="1"/>
  <c r="P2" i="8" s="1"/>
  <c r="O2" i="8" a="1"/>
  <c r="O2" i="8" s="1"/>
  <c r="K2" i="4"/>
  <c r="H2" i="4"/>
  <c r="B2" i="4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2" i="1"/>
  <c r="D2" i="1"/>
  <c r="E2" i="1" s="1"/>
  <c r="C3" i="1"/>
  <c r="C4" i="1" s="1"/>
  <c r="I11" i="1" l="1"/>
  <c r="I7" i="1"/>
  <c r="I10" i="1" a="1"/>
  <c r="I10" i="1" s="1"/>
  <c r="I12" i="1" s="1"/>
  <c r="Q2" i="8" a="1"/>
  <c r="Q2" i="8" s="1"/>
  <c r="D3" i="1"/>
  <c r="D4" i="1" s="1"/>
  <c r="D5" i="1" s="1"/>
  <c r="C5" i="1"/>
  <c r="R2" i="8" l="1"/>
  <c r="D6" i="1"/>
  <c r="E3" i="1"/>
  <c r="E4" i="1"/>
  <c r="C6" i="1"/>
  <c r="E5" i="1"/>
  <c r="C7" i="1" l="1"/>
  <c r="E6" i="1"/>
  <c r="C8" i="1" l="1"/>
  <c r="D7" i="1"/>
  <c r="D8" i="1" s="1"/>
  <c r="E7" i="1" l="1"/>
  <c r="D9" i="1"/>
  <c r="C9" i="1"/>
  <c r="E8" i="1"/>
  <c r="C10" i="1" l="1"/>
  <c r="D10" i="1" s="1"/>
  <c r="E9" i="1"/>
  <c r="C11" i="1" l="1"/>
  <c r="D11" i="1" s="1"/>
  <c r="E10" i="1"/>
  <c r="C12" i="1" l="1"/>
  <c r="D12" i="1" s="1"/>
  <c r="E11" i="1"/>
  <c r="D13" i="1" l="1"/>
  <c r="C13" i="1"/>
  <c r="E12" i="1"/>
  <c r="C14" i="1" l="1"/>
  <c r="D14" i="1" s="1"/>
  <c r="E13" i="1"/>
  <c r="C15" i="1" l="1"/>
  <c r="D15" i="1" s="1"/>
  <c r="E14" i="1"/>
  <c r="C16" i="1" l="1"/>
  <c r="E15" i="1"/>
  <c r="C17" i="1" l="1"/>
  <c r="D16" i="1"/>
  <c r="D17" i="1" s="1"/>
  <c r="E16" i="1" l="1"/>
  <c r="C18" i="1"/>
  <c r="E17" i="1"/>
  <c r="C19" i="1" l="1"/>
  <c r="D18" i="1"/>
  <c r="D19" i="1" s="1"/>
  <c r="E18" i="1" l="1"/>
  <c r="C20" i="1"/>
  <c r="E19" i="1"/>
  <c r="C21" i="1" l="1"/>
  <c r="D20" i="1"/>
  <c r="D21" i="1" s="1"/>
  <c r="E20" i="1" l="1"/>
  <c r="C22" i="1"/>
  <c r="E21" i="1"/>
  <c r="C23" i="1" l="1"/>
  <c r="D22" i="1"/>
  <c r="D23" i="1" s="1"/>
  <c r="E22" i="1" l="1"/>
  <c r="C24" i="1"/>
  <c r="E23" i="1"/>
  <c r="C25" i="1" l="1"/>
  <c r="D24" i="1"/>
  <c r="D25" i="1" s="1"/>
  <c r="E24" i="1" l="1"/>
  <c r="C26" i="1"/>
  <c r="E25" i="1"/>
  <c r="C27" i="1" l="1"/>
  <c r="D26" i="1"/>
  <c r="D27" i="1" l="1"/>
  <c r="E26" i="1"/>
  <c r="C28" i="1"/>
  <c r="E27" i="1"/>
  <c r="C29" i="1" l="1"/>
  <c r="D28" i="1"/>
  <c r="D29" i="1" s="1"/>
  <c r="E28" i="1" l="1"/>
  <c r="C30" i="1"/>
  <c r="E29" i="1"/>
  <c r="C31" i="1" l="1"/>
  <c r="D30" i="1"/>
  <c r="D31" i="1" s="1"/>
  <c r="E30" i="1" l="1"/>
  <c r="C32" i="1"/>
  <c r="E31" i="1"/>
  <c r="C33" i="1" l="1"/>
  <c r="D32" i="1"/>
  <c r="D33" i="1" s="1"/>
  <c r="E32" i="1" l="1"/>
  <c r="C34" i="1"/>
  <c r="E33" i="1"/>
  <c r="C35" i="1" l="1"/>
  <c r="D34" i="1"/>
  <c r="D35" i="1" s="1"/>
  <c r="E34" i="1" l="1"/>
  <c r="C36" i="1"/>
  <c r="E35" i="1"/>
  <c r="C37" i="1" l="1"/>
  <c r="D36" i="1"/>
  <c r="D37" i="1" s="1"/>
  <c r="E36" i="1" l="1"/>
  <c r="C38" i="1"/>
  <c r="E37" i="1"/>
  <c r="C39" i="1" l="1"/>
  <c r="D38" i="1"/>
  <c r="D39" i="1" s="1"/>
  <c r="E38" i="1" l="1"/>
  <c r="C40" i="1"/>
  <c r="E39" i="1"/>
  <c r="C41" i="1" l="1"/>
  <c r="D40" i="1"/>
  <c r="D41" i="1" s="1"/>
  <c r="E40" i="1" l="1"/>
  <c r="C42" i="1"/>
  <c r="D42" i="1" s="1"/>
  <c r="E41" i="1"/>
  <c r="C43" i="1" l="1"/>
  <c r="E42" i="1"/>
  <c r="D43" i="1"/>
  <c r="C44" i="1" l="1"/>
  <c r="E43" i="1"/>
  <c r="C45" i="1" l="1"/>
  <c r="D44" i="1"/>
  <c r="D45" i="1" s="1"/>
  <c r="E44" i="1" l="1"/>
  <c r="C46" i="1"/>
  <c r="E45" i="1"/>
  <c r="C47" i="1" l="1"/>
  <c r="D46" i="1"/>
  <c r="D47" i="1" s="1"/>
  <c r="E46" i="1" l="1"/>
  <c r="C48" i="1"/>
  <c r="E47" i="1"/>
  <c r="C49" i="1" l="1"/>
  <c r="D48" i="1"/>
  <c r="D49" i="1" s="1"/>
  <c r="E48" i="1" l="1"/>
  <c r="C50" i="1"/>
  <c r="E49" i="1"/>
  <c r="C51" i="1" l="1"/>
  <c r="D50" i="1"/>
  <c r="D51" i="1" s="1"/>
  <c r="E50" i="1" l="1"/>
  <c r="C52" i="1"/>
  <c r="E51" i="1"/>
  <c r="C53" i="1" l="1"/>
  <c r="D52" i="1"/>
  <c r="D53" i="1" s="1"/>
  <c r="E52" i="1" l="1"/>
  <c r="C54" i="1"/>
  <c r="E53" i="1"/>
  <c r="C55" i="1" l="1"/>
  <c r="D54" i="1"/>
  <c r="D55" i="1" s="1"/>
  <c r="E54" i="1" l="1"/>
  <c r="C56" i="1"/>
  <c r="E55" i="1"/>
  <c r="C57" i="1" l="1"/>
  <c r="D56" i="1"/>
  <c r="D57" i="1" s="1"/>
  <c r="E56" i="1" l="1"/>
  <c r="C58" i="1"/>
  <c r="E57" i="1"/>
  <c r="C59" i="1" l="1"/>
  <c r="D58" i="1"/>
  <c r="D59" i="1" s="1"/>
  <c r="E58" i="1" l="1"/>
  <c r="C60" i="1"/>
  <c r="E59" i="1"/>
  <c r="C61" i="1" l="1"/>
  <c r="D60" i="1"/>
  <c r="D61" i="1" s="1"/>
  <c r="E60" i="1" l="1"/>
  <c r="C62" i="1"/>
  <c r="E61" i="1"/>
  <c r="C63" i="1" l="1"/>
  <c r="D62" i="1"/>
  <c r="D63" i="1" s="1"/>
  <c r="E62" i="1" l="1"/>
  <c r="C64" i="1"/>
  <c r="E63" i="1"/>
  <c r="C65" i="1" l="1"/>
  <c r="D64" i="1"/>
  <c r="D65" i="1" s="1"/>
  <c r="E64" i="1" l="1"/>
  <c r="C66" i="1"/>
  <c r="D66" i="1" s="1"/>
  <c r="E65" i="1"/>
  <c r="C67" i="1" l="1"/>
  <c r="E66" i="1"/>
  <c r="D67" i="1"/>
  <c r="C68" i="1" l="1"/>
  <c r="E67" i="1"/>
  <c r="C69" i="1" l="1"/>
  <c r="D68" i="1"/>
  <c r="D69" i="1" s="1"/>
  <c r="E68" i="1" l="1"/>
  <c r="C70" i="1"/>
  <c r="E69" i="1"/>
  <c r="C71" i="1" l="1"/>
  <c r="D70" i="1"/>
  <c r="D71" i="1" s="1"/>
  <c r="E70" i="1" l="1"/>
  <c r="C72" i="1"/>
  <c r="E71" i="1"/>
  <c r="C73" i="1" l="1"/>
  <c r="D72" i="1"/>
  <c r="D73" i="1" s="1"/>
  <c r="E72" i="1" l="1"/>
  <c r="C74" i="1"/>
  <c r="E73" i="1"/>
  <c r="C75" i="1" l="1"/>
  <c r="D74" i="1"/>
  <c r="D75" i="1" s="1"/>
  <c r="E74" i="1" l="1"/>
  <c r="C76" i="1"/>
  <c r="E75" i="1"/>
  <c r="C77" i="1" l="1"/>
  <c r="D76" i="1"/>
  <c r="D77" i="1" s="1"/>
  <c r="E76" i="1" l="1"/>
  <c r="C78" i="1"/>
  <c r="E77" i="1"/>
  <c r="C79" i="1" l="1"/>
  <c r="D78" i="1"/>
  <c r="D79" i="1" s="1"/>
  <c r="E78" i="1" l="1"/>
  <c r="C80" i="1"/>
  <c r="E79" i="1"/>
  <c r="C81" i="1" l="1"/>
  <c r="D80" i="1"/>
  <c r="D81" i="1" s="1"/>
  <c r="E80" i="1" l="1"/>
  <c r="C82" i="1"/>
  <c r="E81" i="1"/>
  <c r="C83" i="1" l="1"/>
  <c r="D82" i="1"/>
  <c r="D83" i="1" s="1"/>
  <c r="E82" i="1" l="1"/>
  <c r="C84" i="1"/>
  <c r="E83" i="1"/>
  <c r="C85" i="1" l="1"/>
  <c r="D84" i="1"/>
  <c r="D85" i="1" l="1"/>
  <c r="E85" i="1" s="1"/>
  <c r="E84" i="1"/>
  <c r="C86" i="1"/>
  <c r="C87" i="1" l="1"/>
  <c r="D86" i="1"/>
  <c r="D87" i="1" s="1"/>
  <c r="E86" i="1" l="1"/>
  <c r="C88" i="1"/>
  <c r="E87" i="1"/>
  <c r="C89" i="1" l="1"/>
  <c r="D88" i="1"/>
  <c r="D89" i="1" s="1"/>
  <c r="E88" i="1" l="1"/>
  <c r="C90" i="1"/>
  <c r="D90" i="1" s="1"/>
  <c r="E89" i="1"/>
  <c r="C91" i="1" l="1"/>
  <c r="D91" i="1" s="1"/>
  <c r="E90" i="1"/>
  <c r="C92" i="1" l="1"/>
  <c r="E91" i="1"/>
  <c r="C93" i="1" l="1"/>
  <c r="D92" i="1"/>
  <c r="D93" i="1" s="1"/>
  <c r="E92" i="1" l="1"/>
  <c r="C94" i="1"/>
  <c r="E93" i="1"/>
  <c r="C95" i="1" l="1"/>
  <c r="D94" i="1"/>
  <c r="D95" i="1" s="1"/>
  <c r="E94" i="1" l="1"/>
  <c r="C96" i="1"/>
  <c r="E95" i="1"/>
  <c r="C97" i="1" l="1"/>
  <c r="D96" i="1"/>
  <c r="D97" i="1" s="1"/>
  <c r="E96" i="1" l="1"/>
  <c r="C98" i="1"/>
  <c r="E97" i="1"/>
  <c r="C99" i="1" l="1"/>
  <c r="D98" i="1"/>
  <c r="E98" i="1" s="1"/>
  <c r="C100" i="1" l="1"/>
  <c r="D99" i="1"/>
  <c r="D100" i="1" s="1"/>
  <c r="E99" i="1" l="1"/>
  <c r="C101" i="1"/>
  <c r="E100" i="1"/>
  <c r="C102" i="1" l="1"/>
  <c r="D101" i="1"/>
  <c r="D102" i="1" s="1"/>
  <c r="E101" i="1" l="1"/>
  <c r="C103" i="1"/>
  <c r="D103" i="1" s="1"/>
  <c r="E102" i="1"/>
  <c r="C104" i="1" l="1"/>
  <c r="E103" i="1"/>
  <c r="C105" i="1" l="1"/>
  <c r="D104" i="1"/>
  <c r="E104" i="1" s="1"/>
  <c r="C106" i="1" l="1"/>
  <c r="D105" i="1"/>
  <c r="E105" i="1" s="1"/>
  <c r="C107" i="1" l="1"/>
  <c r="D106" i="1"/>
  <c r="E106" i="1" s="1"/>
  <c r="C108" i="1" l="1"/>
  <c r="D107" i="1"/>
  <c r="E107" i="1" s="1"/>
  <c r="C109" i="1" l="1"/>
  <c r="D108" i="1"/>
  <c r="D109" i="1" s="1"/>
  <c r="E108" i="1" l="1"/>
  <c r="C110" i="1"/>
  <c r="E109" i="1"/>
  <c r="C111" i="1" l="1"/>
  <c r="D110" i="1"/>
  <c r="D111" i="1" l="1"/>
  <c r="E111" i="1" s="1"/>
  <c r="E110" i="1"/>
  <c r="C112" i="1"/>
  <c r="C113" i="1" l="1"/>
  <c r="D112" i="1"/>
  <c r="D113" i="1" s="1"/>
  <c r="E112" i="1" l="1"/>
  <c r="C114" i="1"/>
  <c r="E113" i="1"/>
  <c r="C115" i="1" l="1"/>
  <c r="D114" i="1"/>
  <c r="D115" i="1" s="1"/>
  <c r="E114" i="1" l="1"/>
  <c r="C116" i="1"/>
  <c r="E115" i="1"/>
  <c r="C117" i="1" l="1"/>
  <c r="D116" i="1"/>
  <c r="D117" i="1" s="1"/>
  <c r="E116" i="1" l="1"/>
  <c r="C118" i="1"/>
  <c r="E117" i="1"/>
  <c r="C119" i="1" l="1"/>
  <c r="D118" i="1"/>
  <c r="D119" i="1" s="1"/>
  <c r="E118" i="1" l="1"/>
  <c r="C120" i="1"/>
  <c r="E119" i="1"/>
  <c r="C121" i="1" l="1"/>
  <c r="D120" i="1"/>
  <c r="D121" i="1" s="1"/>
  <c r="E120" i="1" l="1"/>
  <c r="C122" i="1"/>
  <c r="D122" i="1" s="1"/>
  <c r="E121" i="1"/>
  <c r="C123" i="1" l="1"/>
  <c r="E122" i="1"/>
  <c r="C124" i="1" l="1"/>
  <c r="D123" i="1"/>
  <c r="E123" i="1" s="1"/>
  <c r="C125" i="1" l="1"/>
  <c r="D124" i="1"/>
  <c r="D125" i="1" s="1"/>
  <c r="E124" i="1" l="1"/>
  <c r="C126" i="1"/>
  <c r="E125" i="1"/>
  <c r="C127" i="1" l="1"/>
  <c r="D126" i="1"/>
  <c r="D127" i="1" s="1"/>
  <c r="E126" i="1" l="1"/>
  <c r="C128" i="1"/>
  <c r="D128" i="1" s="1"/>
  <c r="E127" i="1"/>
  <c r="C129" i="1" l="1"/>
  <c r="E128" i="1"/>
  <c r="C130" i="1" l="1"/>
  <c r="D129" i="1"/>
  <c r="E129" i="1" s="1"/>
  <c r="C131" i="1" l="1"/>
  <c r="D130" i="1"/>
  <c r="E130" i="1" s="1"/>
  <c r="C132" i="1" l="1"/>
  <c r="D131" i="1"/>
  <c r="E131" i="1" s="1"/>
  <c r="C133" i="1" l="1"/>
  <c r="D132" i="1"/>
  <c r="E132" i="1" s="1"/>
  <c r="C134" i="1" l="1"/>
  <c r="D133" i="1"/>
  <c r="E133" i="1" s="1"/>
  <c r="C135" i="1" l="1"/>
  <c r="D134" i="1"/>
  <c r="E134" i="1" s="1"/>
  <c r="C136" i="1" l="1"/>
  <c r="D135" i="1"/>
  <c r="E135" i="1" s="1"/>
  <c r="C137" i="1" l="1"/>
  <c r="D136" i="1"/>
  <c r="D137" i="1" s="1"/>
  <c r="E136" i="1" l="1"/>
  <c r="C138" i="1"/>
  <c r="E137" i="1"/>
  <c r="C139" i="1" l="1"/>
  <c r="D138" i="1"/>
  <c r="D139" i="1" s="1"/>
  <c r="E138" i="1" l="1"/>
  <c r="C140" i="1"/>
  <c r="E139" i="1"/>
  <c r="C141" i="1" l="1"/>
  <c r="D140" i="1"/>
  <c r="D141" i="1" s="1"/>
  <c r="E140" i="1" l="1"/>
  <c r="C142" i="1"/>
  <c r="E141" i="1"/>
  <c r="C143" i="1" l="1"/>
  <c r="D142" i="1"/>
  <c r="D143" i="1" s="1"/>
  <c r="E142" i="1" l="1"/>
  <c r="C144" i="1"/>
  <c r="E143" i="1"/>
  <c r="C145" i="1" l="1"/>
  <c r="D144" i="1"/>
  <c r="D145" i="1" s="1"/>
  <c r="E144" i="1" l="1"/>
  <c r="C146" i="1"/>
  <c r="E145" i="1"/>
  <c r="C147" i="1" l="1"/>
  <c r="D146" i="1"/>
  <c r="D147" i="1" s="1"/>
  <c r="E146" i="1" l="1"/>
  <c r="C148" i="1"/>
  <c r="E147" i="1"/>
  <c r="C149" i="1" l="1"/>
  <c r="D148" i="1"/>
  <c r="D149" i="1" s="1"/>
  <c r="E148" i="1" l="1"/>
  <c r="C150" i="1"/>
  <c r="E149" i="1"/>
  <c r="C151" i="1" l="1"/>
  <c r="D150" i="1"/>
  <c r="D151" i="1" s="1"/>
  <c r="E150" i="1" l="1"/>
  <c r="C152" i="1"/>
  <c r="E151" i="1"/>
  <c r="C153" i="1" l="1"/>
  <c r="D152" i="1"/>
  <c r="D153" i="1" s="1"/>
  <c r="E152" i="1" l="1"/>
  <c r="C154" i="1"/>
  <c r="E153" i="1"/>
  <c r="C155" i="1" l="1"/>
  <c r="D154" i="1"/>
  <c r="D155" i="1" s="1"/>
  <c r="E154" i="1" l="1"/>
  <c r="C156" i="1"/>
  <c r="E155" i="1"/>
  <c r="C157" i="1" l="1"/>
  <c r="D156" i="1"/>
  <c r="D157" i="1" s="1"/>
  <c r="E156" i="1" l="1"/>
  <c r="C158" i="1"/>
  <c r="E157" i="1"/>
  <c r="C159" i="1" l="1"/>
  <c r="D158" i="1"/>
  <c r="D159" i="1" s="1"/>
  <c r="E158" i="1" l="1"/>
  <c r="C160" i="1"/>
  <c r="E159" i="1"/>
  <c r="C161" i="1" l="1"/>
  <c r="D160" i="1"/>
  <c r="D161" i="1" s="1"/>
  <c r="E160" i="1" l="1"/>
  <c r="C162" i="1"/>
  <c r="E161" i="1"/>
  <c r="C163" i="1" l="1"/>
  <c r="D162" i="1"/>
  <c r="D163" i="1" s="1"/>
  <c r="E162" i="1" l="1"/>
  <c r="C164" i="1"/>
  <c r="E163" i="1"/>
  <c r="C165" i="1" l="1"/>
  <c r="D164" i="1"/>
  <c r="D165" i="1" s="1"/>
  <c r="E164" i="1" l="1"/>
  <c r="C166" i="1"/>
  <c r="E165" i="1"/>
  <c r="C167" i="1" l="1"/>
  <c r="D166" i="1"/>
  <c r="D167" i="1" s="1"/>
  <c r="E166" i="1" l="1"/>
  <c r="C168" i="1"/>
  <c r="E167" i="1"/>
  <c r="C169" i="1" l="1"/>
  <c r="D168" i="1"/>
  <c r="D169" i="1" s="1"/>
  <c r="E168" i="1" l="1"/>
  <c r="C170" i="1"/>
  <c r="E169" i="1"/>
  <c r="C171" i="1" l="1"/>
  <c r="D170" i="1"/>
  <c r="D171" i="1" l="1"/>
  <c r="E171" i="1" s="1"/>
  <c r="E170" i="1"/>
  <c r="C172" i="1"/>
  <c r="C173" i="1" l="1"/>
  <c r="D172" i="1"/>
  <c r="D173" i="1" s="1"/>
  <c r="E172" i="1" l="1"/>
  <c r="C174" i="1"/>
  <c r="E173" i="1"/>
  <c r="C175" i="1" l="1"/>
  <c r="D174" i="1"/>
  <c r="D175" i="1" l="1"/>
  <c r="E175" i="1" s="1"/>
  <c r="E174" i="1"/>
  <c r="C176" i="1"/>
  <c r="C177" i="1" l="1"/>
  <c r="D176" i="1"/>
  <c r="D177" i="1" l="1"/>
  <c r="E177" i="1" s="1"/>
  <c r="E176" i="1"/>
  <c r="C178" i="1"/>
  <c r="D178" i="1" l="1"/>
  <c r="E178" i="1" s="1"/>
  <c r="C179" i="1"/>
  <c r="C180" i="1" l="1"/>
  <c r="D179" i="1"/>
  <c r="D180" i="1" s="1"/>
  <c r="E179" i="1" l="1"/>
  <c r="C181" i="1"/>
  <c r="E180" i="1"/>
  <c r="C182" i="1" l="1"/>
  <c r="D181" i="1"/>
  <c r="C183" i="1" l="1"/>
  <c r="D182" i="1"/>
  <c r="E181" i="1"/>
  <c r="D183" i="1" l="1"/>
  <c r="C184" i="1"/>
  <c r="E183" i="1"/>
  <c r="D184" i="1"/>
  <c r="E182" i="1"/>
  <c r="C185" i="1" l="1"/>
  <c r="E184" i="1"/>
  <c r="C186" i="1" l="1"/>
  <c r="D185" i="1"/>
  <c r="D186" i="1" s="1"/>
  <c r="E185" i="1" l="1"/>
  <c r="C187" i="1"/>
  <c r="D187" i="1" s="1"/>
  <c r="E186" i="1"/>
  <c r="C188" i="1" l="1"/>
  <c r="E187" i="1"/>
  <c r="C189" i="1" l="1"/>
  <c r="D188" i="1"/>
  <c r="D189" i="1" s="1"/>
  <c r="E188" i="1" l="1"/>
  <c r="C190" i="1"/>
  <c r="D190" i="1" s="1"/>
  <c r="E189" i="1"/>
  <c r="C191" i="1" l="1"/>
  <c r="D191" i="1" s="1"/>
  <c r="E190" i="1"/>
  <c r="C192" i="1" l="1"/>
  <c r="E191" i="1"/>
  <c r="C193" i="1" l="1"/>
  <c r="D192" i="1"/>
  <c r="D193" i="1" l="1"/>
  <c r="E192" i="1"/>
  <c r="C194" i="1"/>
  <c r="E193" i="1"/>
  <c r="C195" i="1" l="1"/>
  <c r="D194" i="1"/>
  <c r="D195" i="1" l="1"/>
  <c r="C196" i="1"/>
  <c r="E195" i="1"/>
  <c r="E194" i="1"/>
  <c r="C197" i="1" l="1"/>
  <c r="D196" i="1"/>
  <c r="D197" i="1" s="1"/>
  <c r="E196" i="1" l="1"/>
  <c r="C198" i="1"/>
  <c r="E197" i="1"/>
  <c r="C199" i="1" l="1"/>
  <c r="D198" i="1"/>
  <c r="C200" i="1" l="1"/>
  <c r="D199" i="1"/>
  <c r="E198" i="1"/>
  <c r="D200" i="1" l="1"/>
  <c r="E200" i="1" s="1"/>
  <c r="E199" i="1"/>
  <c r="C201" i="1"/>
  <c r="C202" i="1" l="1"/>
  <c r="D201" i="1"/>
  <c r="C203" i="1" l="1"/>
  <c r="D202" i="1"/>
  <c r="D203" i="1" s="1"/>
  <c r="E201" i="1"/>
  <c r="E202" i="1" l="1"/>
  <c r="C204" i="1"/>
  <c r="E203" i="1"/>
  <c r="C205" i="1" l="1"/>
  <c r="D204" i="1"/>
  <c r="C206" i="1" l="1"/>
  <c r="D205" i="1"/>
  <c r="D206" i="1" s="1"/>
  <c r="E204" i="1"/>
  <c r="E205" i="1" l="1"/>
  <c r="C207" i="1"/>
  <c r="E206" i="1"/>
  <c r="C208" i="1" l="1"/>
  <c r="D207" i="1"/>
  <c r="D208" i="1" s="1"/>
  <c r="E207" i="1" l="1"/>
  <c r="C209" i="1"/>
  <c r="E208" i="1"/>
  <c r="C210" i="1" l="1"/>
  <c r="D209" i="1"/>
  <c r="C211" i="1" l="1"/>
  <c r="D210" i="1"/>
  <c r="D211" i="1" s="1"/>
  <c r="E209" i="1"/>
  <c r="C212" i="1" l="1"/>
  <c r="D212" i="1" s="1"/>
  <c r="E211" i="1"/>
  <c r="E210" i="1"/>
  <c r="C213" i="1" l="1"/>
  <c r="D213" i="1" s="1"/>
  <c r="E212" i="1"/>
  <c r="C214" i="1" l="1"/>
  <c r="D214" i="1" s="1"/>
  <c r="E213" i="1"/>
  <c r="C215" i="1" l="1"/>
  <c r="D215" i="1" s="1"/>
  <c r="E214" i="1"/>
  <c r="C216" i="1" l="1"/>
  <c r="E215" i="1"/>
  <c r="C217" i="1" l="1"/>
  <c r="D216" i="1"/>
  <c r="D217" i="1" s="1"/>
  <c r="E216" i="1" l="1"/>
  <c r="C218" i="1"/>
  <c r="E217" i="1"/>
  <c r="C219" i="1" l="1"/>
  <c r="D218" i="1"/>
  <c r="D219" i="1" s="1"/>
  <c r="E218" i="1" l="1"/>
  <c r="C220" i="1"/>
  <c r="E219" i="1"/>
  <c r="C221" i="1" l="1"/>
  <c r="D220" i="1"/>
  <c r="D221" i="1" s="1"/>
  <c r="E220" i="1" l="1"/>
  <c r="C222" i="1"/>
  <c r="E221" i="1"/>
  <c r="C223" i="1" l="1"/>
  <c r="D222" i="1"/>
  <c r="D223" i="1" s="1"/>
  <c r="E222" i="1" l="1"/>
  <c r="C224" i="1"/>
  <c r="E223" i="1"/>
  <c r="C225" i="1" l="1"/>
  <c r="D224" i="1"/>
  <c r="D225" i="1" s="1"/>
  <c r="E224" i="1" l="1"/>
  <c r="C226" i="1"/>
  <c r="E225" i="1"/>
  <c r="C227" i="1" l="1"/>
  <c r="D226" i="1"/>
  <c r="D227" i="1" s="1"/>
  <c r="E226" i="1" l="1"/>
  <c r="C228" i="1"/>
  <c r="E227" i="1"/>
  <c r="C229" i="1" l="1"/>
  <c r="D228" i="1"/>
  <c r="D229" i="1" s="1"/>
  <c r="E228" i="1" l="1"/>
  <c r="C230" i="1"/>
  <c r="E229" i="1"/>
  <c r="C231" i="1" l="1"/>
  <c r="D230" i="1"/>
  <c r="D231" i="1" s="1"/>
  <c r="E230" i="1" l="1"/>
  <c r="C232" i="1"/>
  <c r="E231" i="1"/>
  <c r="C233" i="1" l="1"/>
  <c r="D232" i="1"/>
  <c r="D233" i="1" s="1"/>
  <c r="E232" i="1" l="1"/>
  <c r="C234" i="1"/>
  <c r="E233" i="1"/>
  <c r="C235" i="1" l="1"/>
  <c r="D234" i="1"/>
  <c r="D235" i="1" s="1"/>
  <c r="E234" i="1" l="1"/>
  <c r="C236" i="1"/>
  <c r="E235" i="1"/>
  <c r="C237" i="1" l="1"/>
  <c r="D236" i="1"/>
  <c r="D237" i="1" s="1"/>
  <c r="E236" i="1" l="1"/>
  <c r="C238" i="1"/>
  <c r="E237" i="1"/>
  <c r="C239" i="1" l="1"/>
  <c r="D238" i="1"/>
  <c r="D239" i="1" s="1"/>
  <c r="E238" i="1" l="1"/>
  <c r="C240" i="1"/>
  <c r="E239" i="1"/>
  <c r="C241" i="1" l="1"/>
  <c r="D240" i="1"/>
  <c r="D241" i="1" s="1"/>
  <c r="E240" i="1" l="1"/>
  <c r="C242" i="1"/>
  <c r="E241" i="1"/>
  <c r="C243" i="1" l="1"/>
  <c r="D242" i="1"/>
  <c r="D243" i="1" s="1"/>
  <c r="E242" i="1" l="1"/>
  <c r="C244" i="1"/>
  <c r="E243" i="1"/>
  <c r="C245" i="1" l="1"/>
  <c r="D244" i="1"/>
  <c r="D245" i="1" s="1"/>
  <c r="E244" i="1" l="1"/>
  <c r="C246" i="1"/>
  <c r="E245" i="1"/>
  <c r="C247" i="1" l="1"/>
  <c r="D246" i="1"/>
  <c r="D247" i="1" s="1"/>
  <c r="E246" i="1" l="1"/>
  <c r="C248" i="1"/>
  <c r="E247" i="1"/>
  <c r="C249" i="1" l="1"/>
  <c r="D248" i="1"/>
  <c r="D249" i="1" s="1"/>
  <c r="E248" i="1" l="1"/>
  <c r="C250" i="1"/>
  <c r="E249" i="1"/>
  <c r="C251" i="1" l="1"/>
  <c r="D250" i="1"/>
  <c r="D251" i="1" s="1"/>
  <c r="E250" i="1" l="1"/>
  <c r="C252" i="1"/>
  <c r="E251" i="1"/>
  <c r="C253" i="1" l="1"/>
  <c r="D252" i="1"/>
  <c r="D253" i="1" s="1"/>
  <c r="E252" i="1" l="1"/>
  <c r="C254" i="1"/>
  <c r="E253" i="1"/>
  <c r="C255" i="1" l="1"/>
  <c r="D254" i="1"/>
  <c r="D255" i="1" s="1"/>
  <c r="E254" i="1" l="1"/>
  <c r="C256" i="1"/>
  <c r="E255" i="1"/>
  <c r="C257" i="1" l="1"/>
  <c r="D256" i="1"/>
  <c r="D257" i="1" s="1"/>
  <c r="E256" i="1" l="1"/>
  <c r="C258" i="1"/>
  <c r="E257" i="1"/>
  <c r="C259" i="1" l="1"/>
  <c r="D258" i="1"/>
  <c r="D259" i="1" s="1"/>
  <c r="E258" i="1" l="1"/>
  <c r="C260" i="1"/>
  <c r="E259" i="1"/>
  <c r="C261" i="1" l="1"/>
  <c r="D260" i="1"/>
  <c r="D261" i="1" s="1"/>
  <c r="E260" i="1" l="1"/>
  <c r="C262" i="1"/>
  <c r="E261" i="1"/>
  <c r="C263" i="1" l="1"/>
  <c r="D262" i="1"/>
  <c r="D263" i="1" s="1"/>
  <c r="E262" i="1" l="1"/>
  <c r="C264" i="1"/>
  <c r="E263" i="1"/>
  <c r="C265" i="1" l="1"/>
  <c r="D264" i="1"/>
  <c r="D265" i="1" s="1"/>
  <c r="E264" i="1" l="1"/>
  <c r="C266" i="1"/>
  <c r="E265" i="1"/>
  <c r="C267" i="1" l="1"/>
  <c r="D266" i="1"/>
  <c r="D267" i="1" s="1"/>
  <c r="E266" i="1" l="1"/>
  <c r="C268" i="1"/>
  <c r="E267" i="1"/>
  <c r="C269" i="1" l="1"/>
  <c r="D268" i="1"/>
  <c r="D269" i="1" s="1"/>
  <c r="E268" i="1" l="1"/>
  <c r="C270" i="1"/>
  <c r="E269" i="1"/>
  <c r="C271" i="1" l="1"/>
  <c r="D270" i="1"/>
  <c r="D271" i="1" s="1"/>
  <c r="E270" i="1" l="1"/>
  <c r="C272" i="1"/>
  <c r="E271" i="1"/>
  <c r="C273" i="1" l="1"/>
  <c r="D272" i="1"/>
  <c r="D273" i="1" s="1"/>
  <c r="E272" i="1" l="1"/>
  <c r="C274" i="1"/>
  <c r="E273" i="1"/>
  <c r="C275" i="1" l="1"/>
  <c r="D274" i="1"/>
  <c r="D275" i="1" s="1"/>
  <c r="E274" i="1" l="1"/>
  <c r="C276" i="1"/>
  <c r="E275" i="1"/>
  <c r="C277" i="1" l="1"/>
  <c r="D276" i="1"/>
  <c r="D277" i="1" s="1"/>
  <c r="E276" i="1" l="1"/>
  <c r="C278" i="1"/>
  <c r="E277" i="1"/>
  <c r="C279" i="1" l="1"/>
  <c r="D278" i="1"/>
  <c r="D279" i="1" s="1"/>
  <c r="E278" i="1" l="1"/>
  <c r="C280" i="1"/>
  <c r="E279" i="1"/>
  <c r="C281" i="1" l="1"/>
  <c r="D280" i="1"/>
  <c r="D281" i="1" s="1"/>
  <c r="E280" i="1" l="1"/>
  <c r="C282" i="1"/>
  <c r="E281" i="1"/>
  <c r="C283" i="1" l="1"/>
  <c r="D282" i="1"/>
  <c r="D283" i="1" s="1"/>
  <c r="E282" i="1" l="1"/>
  <c r="C284" i="1"/>
  <c r="E283" i="1"/>
  <c r="C285" i="1" l="1"/>
  <c r="D284" i="1"/>
  <c r="D285" i="1" s="1"/>
  <c r="E284" i="1" l="1"/>
  <c r="C286" i="1"/>
  <c r="E285" i="1"/>
  <c r="C287" i="1" l="1"/>
  <c r="D286" i="1"/>
  <c r="D287" i="1" s="1"/>
  <c r="E286" i="1" l="1"/>
  <c r="C288" i="1"/>
  <c r="E287" i="1"/>
  <c r="C289" i="1" l="1"/>
  <c r="D288" i="1"/>
  <c r="D289" i="1" s="1"/>
  <c r="E288" i="1" l="1"/>
  <c r="C290" i="1"/>
  <c r="E289" i="1"/>
  <c r="C291" i="1" l="1"/>
  <c r="D290" i="1"/>
  <c r="D291" i="1" s="1"/>
  <c r="E290" i="1" l="1"/>
  <c r="C292" i="1"/>
  <c r="E291" i="1"/>
  <c r="C293" i="1" l="1"/>
  <c r="D292" i="1"/>
  <c r="D293" i="1" s="1"/>
  <c r="E292" i="1" l="1"/>
  <c r="C294" i="1"/>
  <c r="E293" i="1"/>
  <c r="C295" i="1" l="1"/>
  <c r="D294" i="1"/>
  <c r="D295" i="1" s="1"/>
  <c r="E294" i="1" l="1"/>
  <c r="C296" i="1"/>
  <c r="E295" i="1"/>
  <c r="C297" i="1" l="1"/>
  <c r="D296" i="1"/>
  <c r="D297" i="1" s="1"/>
  <c r="E296" i="1" l="1"/>
  <c r="C298" i="1"/>
  <c r="E297" i="1"/>
  <c r="C299" i="1" l="1"/>
  <c r="D298" i="1"/>
  <c r="D299" i="1" s="1"/>
  <c r="E298" i="1" l="1"/>
  <c r="C300" i="1"/>
  <c r="E299" i="1"/>
  <c r="C301" i="1" l="1"/>
  <c r="D300" i="1"/>
  <c r="D301" i="1" s="1"/>
  <c r="E300" i="1" l="1"/>
  <c r="C302" i="1"/>
  <c r="E301" i="1"/>
  <c r="C303" i="1" l="1"/>
  <c r="D302" i="1"/>
  <c r="D303" i="1" s="1"/>
  <c r="E302" i="1" l="1"/>
  <c r="C304" i="1"/>
  <c r="E303" i="1"/>
  <c r="C305" i="1" l="1"/>
  <c r="D304" i="1"/>
  <c r="D305" i="1" s="1"/>
  <c r="E304" i="1" l="1"/>
  <c r="C306" i="1"/>
  <c r="E305" i="1"/>
  <c r="C307" i="1" l="1"/>
  <c r="D306" i="1"/>
  <c r="D307" i="1" s="1"/>
  <c r="E306" i="1" l="1"/>
  <c r="C308" i="1"/>
  <c r="E307" i="1"/>
  <c r="C309" i="1" l="1"/>
  <c r="D308" i="1"/>
  <c r="D309" i="1" s="1"/>
  <c r="E308" i="1" l="1"/>
  <c r="C310" i="1"/>
  <c r="E309" i="1"/>
  <c r="C311" i="1" l="1"/>
  <c r="D310" i="1"/>
  <c r="D311" i="1" s="1"/>
  <c r="E310" i="1" l="1"/>
  <c r="C312" i="1"/>
  <c r="E311" i="1"/>
  <c r="C313" i="1" l="1"/>
  <c r="D312" i="1"/>
  <c r="D313" i="1" s="1"/>
  <c r="E312" i="1" l="1"/>
  <c r="C314" i="1"/>
  <c r="E313" i="1"/>
  <c r="C315" i="1" l="1"/>
  <c r="D314" i="1"/>
  <c r="D315" i="1" s="1"/>
  <c r="E314" i="1" l="1"/>
  <c r="C316" i="1"/>
  <c r="E315" i="1"/>
  <c r="C317" i="1" l="1"/>
  <c r="D316" i="1"/>
  <c r="D317" i="1" s="1"/>
  <c r="E316" i="1" l="1"/>
  <c r="C318" i="1"/>
  <c r="E317" i="1"/>
  <c r="C319" i="1" l="1"/>
  <c r="D318" i="1"/>
  <c r="D319" i="1" s="1"/>
  <c r="E318" i="1" l="1"/>
  <c r="C320" i="1"/>
  <c r="E319" i="1"/>
  <c r="C321" i="1" l="1"/>
  <c r="D320" i="1"/>
  <c r="D321" i="1" s="1"/>
  <c r="E320" i="1" l="1"/>
  <c r="C322" i="1"/>
  <c r="E321" i="1"/>
  <c r="C323" i="1" l="1"/>
  <c r="D322" i="1"/>
  <c r="D323" i="1" s="1"/>
  <c r="E322" i="1" l="1"/>
  <c r="C324" i="1"/>
  <c r="E323" i="1"/>
  <c r="C325" i="1" l="1"/>
  <c r="D324" i="1"/>
  <c r="D325" i="1" s="1"/>
  <c r="E324" i="1" l="1"/>
  <c r="C326" i="1"/>
  <c r="E325" i="1"/>
  <c r="C327" i="1" l="1"/>
  <c r="D326" i="1"/>
  <c r="D327" i="1" s="1"/>
  <c r="E326" i="1" l="1"/>
  <c r="C328" i="1"/>
  <c r="E327" i="1"/>
  <c r="C329" i="1" l="1"/>
  <c r="D328" i="1"/>
  <c r="D329" i="1" s="1"/>
  <c r="E328" i="1" l="1"/>
  <c r="C330" i="1"/>
  <c r="E329" i="1"/>
  <c r="C331" i="1" l="1"/>
  <c r="D330" i="1"/>
  <c r="D331" i="1" s="1"/>
  <c r="E330" i="1" l="1"/>
  <c r="C332" i="1"/>
  <c r="E331" i="1"/>
  <c r="C333" i="1" l="1"/>
  <c r="D332" i="1"/>
  <c r="D333" i="1" s="1"/>
  <c r="E332" i="1" l="1"/>
  <c r="C334" i="1"/>
  <c r="E333" i="1"/>
  <c r="C335" i="1" l="1"/>
  <c r="D334" i="1"/>
  <c r="D335" i="1" s="1"/>
  <c r="E334" i="1" l="1"/>
  <c r="C336" i="1"/>
  <c r="E335" i="1"/>
  <c r="C337" i="1" l="1"/>
  <c r="D336" i="1"/>
  <c r="D337" i="1" s="1"/>
  <c r="E336" i="1" l="1"/>
  <c r="C338" i="1"/>
  <c r="E337" i="1"/>
  <c r="C339" i="1" l="1"/>
  <c r="D338" i="1"/>
  <c r="D339" i="1" s="1"/>
  <c r="E338" i="1" l="1"/>
  <c r="C340" i="1"/>
  <c r="E339" i="1"/>
  <c r="C341" i="1" l="1"/>
  <c r="D340" i="1"/>
  <c r="D341" i="1" s="1"/>
  <c r="E340" i="1" l="1"/>
  <c r="C342" i="1"/>
  <c r="E341" i="1"/>
  <c r="C343" i="1" l="1"/>
  <c r="D342" i="1"/>
  <c r="D343" i="1" s="1"/>
  <c r="E342" i="1" l="1"/>
  <c r="C344" i="1"/>
  <c r="E343" i="1"/>
  <c r="C345" i="1" l="1"/>
  <c r="D344" i="1"/>
  <c r="D345" i="1" s="1"/>
  <c r="E344" i="1" l="1"/>
  <c r="C346" i="1"/>
  <c r="E345" i="1"/>
  <c r="C347" i="1" l="1"/>
  <c r="D346" i="1"/>
  <c r="D347" i="1" s="1"/>
  <c r="E346" i="1" l="1"/>
  <c r="C348" i="1"/>
  <c r="E347" i="1"/>
  <c r="C349" i="1" l="1"/>
  <c r="D348" i="1"/>
  <c r="D349" i="1" s="1"/>
  <c r="E348" i="1" l="1"/>
  <c r="C350" i="1"/>
  <c r="E349" i="1"/>
  <c r="C351" i="1" l="1"/>
  <c r="D350" i="1"/>
  <c r="D351" i="1" s="1"/>
  <c r="E350" i="1" l="1"/>
  <c r="C352" i="1"/>
  <c r="E351" i="1"/>
  <c r="C353" i="1" l="1"/>
  <c r="D352" i="1"/>
  <c r="D353" i="1" s="1"/>
  <c r="E352" i="1" l="1"/>
  <c r="C354" i="1"/>
  <c r="E353" i="1"/>
  <c r="C355" i="1" l="1"/>
  <c r="D354" i="1"/>
  <c r="D355" i="1" s="1"/>
  <c r="E354" i="1" l="1"/>
  <c r="C356" i="1"/>
  <c r="E355" i="1"/>
  <c r="C357" i="1" l="1"/>
  <c r="D356" i="1"/>
  <c r="D357" i="1" s="1"/>
  <c r="E356" i="1" l="1"/>
  <c r="C358" i="1"/>
  <c r="E357" i="1"/>
  <c r="C359" i="1" l="1"/>
  <c r="D358" i="1"/>
  <c r="D359" i="1" s="1"/>
  <c r="E358" i="1" l="1"/>
  <c r="C360" i="1"/>
  <c r="E359" i="1"/>
  <c r="C361" i="1" l="1"/>
  <c r="D360" i="1"/>
  <c r="D361" i="1" s="1"/>
  <c r="E360" i="1" l="1"/>
  <c r="C362" i="1"/>
  <c r="E361" i="1"/>
  <c r="C363" i="1" l="1"/>
  <c r="D362" i="1"/>
  <c r="D363" i="1" s="1"/>
  <c r="E362" i="1" l="1"/>
  <c r="C364" i="1"/>
  <c r="E363" i="1"/>
  <c r="C365" i="1" l="1"/>
  <c r="D364" i="1"/>
  <c r="D365" i="1" s="1"/>
  <c r="E364" i="1" l="1"/>
  <c r="C366" i="1"/>
  <c r="E365" i="1"/>
  <c r="C367" i="1" l="1"/>
  <c r="D366" i="1"/>
  <c r="D367" i="1" s="1"/>
  <c r="E366" i="1" l="1"/>
  <c r="C368" i="1"/>
  <c r="E367" i="1"/>
  <c r="C369" i="1" l="1"/>
  <c r="D368" i="1"/>
  <c r="C370" i="1" l="1"/>
  <c r="D369" i="1"/>
  <c r="D370" i="1" s="1"/>
  <c r="E368" i="1"/>
  <c r="E369" i="1" l="1"/>
  <c r="C371" i="1"/>
  <c r="E370" i="1"/>
  <c r="C372" i="1" l="1"/>
  <c r="D371" i="1"/>
  <c r="D372" i="1" s="1"/>
  <c r="E371" i="1" l="1"/>
  <c r="C373" i="1"/>
  <c r="E372" i="1"/>
  <c r="C374" i="1" l="1"/>
  <c r="D373" i="1"/>
  <c r="D374" i="1" s="1"/>
  <c r="E373" i="1" l="1"/>
  <c r="C375" i="1"/>
  <c r="E374" i="1"/>
  <c r="C376" i="1" l="1"/>
  <c r="D375" i="1"/>
  <c r="D376" i="1" s="1"/>
  <c r="E375" i="1" l="1"/>
  <c r="C377" i="1"/>
  <c r="E376" i="1"/>
  <c r="C378" i="1" l="1"/>
  <c r="D377" i="1"/>
  <c r="D378" i="1" s="1"/>
  <c r="E377" i="1" l="1"/>
  <c r="C379" i="1"/>
  <c r="E378" i="1"/>
  <c r="C380" i="1" l="1"/>
  <c r="D379" i="1"/>
  <c r="D380" i="1" s="1"/>
  <c r="E379" i="1" l="1"/>
  <c r="C381" i="1"/>
  <c r="E380" i="1"/>
  <c r="C382" i="1" l="1"/>
  <c r="D381" i="1"/>
  <c r="D382" i="1" s="1"/>
  <c r="E381" i="1" l="1"/>
  <c r="C383" i="1"/>
  <c r="E382" i="1"/>
  <c r="C384" i="1" l="1"/>
  <c r="D383" i="1"/>
  <c r="D384" i="1" s="1"/>
  <c r="E383" i="1" l="1"/>
  <c r="C385" i="1"/>
  <c r="E384" i="1"/>
  <c r="C386" i="1" l="1"/>
  <c r="D385" i="1"/>
  <c r="D386" i="1" s="1"/>
  <c r="E385" i="1" l="1"/>
  <c r="C387" i="1"/>
  <c r="E386" i="1"/>
  <c r="C388" i="1" l="1"/>
  <c r="D387" i="1"/>
  <c r="D388" i="1" s="1"/>
  <c r="E387" i="1" l="1"/>
  <c r="C389" i="1"/>
  <c r="E388" i="1"/>
  <c r="C390" i="1" l="1"/>
  <c r="D389" i="1"/>
  <c r="D390" i="1" s="1"/>
  <c r="E389" i="1" l="1"/>
  <c r="C391" i="1"/>
  <c r="E390" i="1"/>
  <c r="C392" i="1" l="1"/>
  <c r="D391" i="1"/>
  <c r="D392" i="1" s="1"/>
  <c r="E391" i="1" l="1"/>
  <c r="C393" i="1"/>
  <c r="E392" i="1"/>
  <c r="C394" i="1" l="1"/>
  <c r="D393" i="1"/>
  <c r="D394" i="1" s="1"/>
  <c r="E393" i="1" l="1"/>
  <c r="C395" i="1"/>
  <c r="E394" i="1"/>
  <c r="C396" i="1" l="1"/>
  <c r="D395" i="1"/>
  <c r="D396" i="1" s="1"/>
  <c r="E395" i="1" l="1"/>
  <c r="C397" i="1"/>
  <c r="E396" i="1"/>
  <c r="C398" i="1" l="1"/>
  <c r="D397" i="1"/>
  <c r="D398" i="1" s="1"/>
  <c r="E397" i="1" l="1"/>
  <c r="C399" i="1"/>
  <c r="E398" i="1"/>
  <c r="C400" i="1" l="1"/>
  <c r="D399" i="1"/>
  <c r="D400" i="1" s="1"/>
  <c r="E399" i="1" l="1"/>
  <c r="C401" i="1"/>
  <c r="E400" i="1"/>
  <c r="C402" i="1" l="1"/>
  <c r="D401" i="1"/>
  <c r="D402" i="1" s="1"/>
  <c r="E401" i="1" l="1"/>
  <c r="C403" i="1"/>
  <c r="E402" i="1"/>
  <c r="C404" i="1" l="1"/>
  <c r="D403" i="1"/>
  <c r="D404" i="1" s="1"/>
  <c r="E403" i="1" l="1"/>
  <c r="C405" i="1"/>
  <c r="E404" i="1"/>
  <c r="C406" i="1" l="1"/>
  <c r="D405" i="1"/>
  <c r="D406" i="1" s="1"/>
  <c r="E405" i="1" l="1"/>
  <c r="C407" i="1"/>
  <c r="E406" i="1"/>
  <c r="C408" i="1" l="1"/>
  <c r="D407" i="1"/>
  <c r="D408" i="1" s="1"/>
  <c r="E407" i="1" l="1"/>
  <c r="C409" i="1"/>
  <c r="E408" i="1"/>
  <c r="C410" i="1" l="1"/>
  <c r="D409" i="1"/>
  <c r="D410" i="1" s="1"/>
  <c r="E409" i="1" l="1"/>
  <c r="C411" i="1"/>
  <c r="E410" i="1"/>
  <c r="C412" i="1" l="1"/>
  <c r="D411" i="1"/>
  <c r="D412" i="1" s="1"/>
  <c r="E411" i="1" l="1"/>
  <c r="C413" i="1"/>
  <c r="E412" i="1"/>
  <c r="C414" i="1" l="1"/>
  <c r="D413" i="1"/>
  <c r="D414" i="1" s="1"/>
  <c r="E413" i="1" l="1"/>
  <c r="C415" i="1"/>
  <c r="E414" i="1"/>
  <c r="C416" i="1" l="1"/>
  <c r="D415" i="1"/>
  <c r="D416" i="1" s="1"/>
  <c r="E415" i="1" l="1"/>
  <c r="C417" i="1"/>
  <c r="E416" i="1"/>
  <c r="C418" i="1" l="1"/>
  <c r="D417" i="1"/>
  <c r="D418" i="1" l="1"/>
  <c r="E417" i="1"/>
  <c r="C419" i="1"/>
  <c r="E418" i="1"/>
  <c r="C420" i="1" l="1"/>
  <c r="D419" i="1"/>
  <c r="D420" i="1" s="1"/>
  <c r="E419" i="1" l="1"/>
  <c r="C421" i="1"/>
  <c r="E420" i="1"/>
  <c r="C422" i="1" l="1"/>
  <c r="D421" i="1"/>
  <c r="D422" i="1" s="1"/>
  <c r="E421" i="1" l="1"/>
  <c r="C423" i="1"/>
  <c r="E422" i="1"/>
  <c r="C424" i="1" l="1"/>
  <c r="D423" i="1"/>
  <c r="D424" i="1" s="1"/>
  <c r="E423" i="1" l="1"/>
  <c r="C425" i="1"/>
  <c r="E424" i="1"/>
  <c r="C426" i="1" l="1"/>
  <c r="D425" i="1"/>
  <c r="D426" i="1" s="1"/>
  <c r="E425" i="1" l="1"/>
  <c r="C427" i="1"/>
  <c r="E426" i="1"/>
  <c r="C428" i="1" l="1"/>
  <c r="D427" i="1"/>
  <c r="D428" i="1" s="1"/>
  <c r="E427" i="1" l="1"/>
  <c r="C429" i="1"/>
  <c r="E428" i="1"/>
  <c r="C430" i="1" l="1"/>
  <c r="D429" i="1"/>
  <c r="D430" i="1" s="1"/>
  <c r="E429" i="1" l="1"/>
  <c r="C431" i="1"/>
  <c r="E430" i="1"/>
  <c r="C432" i="1" l="1"/>
  <c r="D431" i="1"/>
  <c r="D432" i="1" s="1"/>
  <c r="E431" i="1" l="1"/>
  <c r="C433" i="1"/>
  <c r="E432" i="1"/>
  <c r="C434" i="1" l="1"/>
  <c r="D433" i="1"/>
  <c r="D434" i="1" s="1"/>
  <c r="E433" i="1" l="1"/>
  <c r="C435" i="1"/>
  <c r="E434" i="1"/>
  <c r="C436" i="1" l="1"/>
  <c r="D435" i="1"/>
  <c r="D436" i="1" s="1"/>
  <c r="E435" i="1" l="1"/>
  <c r="C437" i="1"/>
  <c r="E436" i="1"/>
  <c r="C438" i="1" l="1"/>
  <c r="D437" i="1"/>
  <c r="D438" i="1" s="1"/>
  <c r="E437" i="1" l="1"/>
  <c r="C439" i="1"/>
  <c r="E438" i="1"/>
  <c r="C440" i="1" l="1"/>
  <c r="D439" i="1"/>
  <c r="D440" i="1" s="1"/>
  <c r="E439" i="1" l="1"/>
  <c r="C441" i="1"/>
  <c r="E440" i="1"/>
  <c r="C442" i="1" l="1"/>
  <c r="D441" i="1"/>
  <c r="D442" i="1" s="1"/>
  <c r="E441" i="1" l="1"/>
  <c r="C443" i="1"/>
  <c r="E442" i="1"/>
  <c r="C444" i="1" l="1"/>
  <c r="D443" i="1"/>
  <c r="D444" i="1" s="1"/>
  <c r="E443" i="1" l="1"/>
  <c r="C445" i="1"/>
  <c r="E444" i="1"/>
  <c r="C446" i="1" l="1"/>
  <c r="D445" i="1"/>
  <c r="D446" i="1" s="1"/>
  <c r="E445" i="1" l="1"/>
  <c r="C447" i="1"/>
  <c r="E446" i="1"/>
  <c r="C448" i="1" l="1"/>
  <c r="D447" i="1"/>
  <c r="D448" i="1" s="1"/>
  <c r="E447" i="1" l="1"/>
  <c r="C449" i="1"/>
  <c r="E448" i="1"/>
  <c r="C450" i="1" l="1"/>
  <c r="D449" i="1"/>
  <c r="D450" i="1" s="1"/>
  <c r="E449" i="1" l="1"/>
  <c r="C451" i="1"/>
  <c r="E450" i="1"/>
  <c r="C452" i="1" l="1"/>
  <c r="D451" i="1"/>
  <c r="D452" i="1" s="1"/>
  <c r="E451" i="1" l="1"/>
  <c r="C453" i="1"/>
  <c r="E452" i="1"/>
  <c r="C454" i="1" l="1"/>
  <c r="D453" i="1"/>
  <c r="D454" i="1" s="1"/>
  <c r="E453" i="1" l="1"/>
  <c r="C455" i="1"/>
  <c r="E454" i="1"/>
  <c r="C456" i="1" l="1"/>
  <c r="D455" i="1"/>
  <c r="D456" i="1" s="1"/>
  <c r="E455" i="1" l="1"/>
  <c r="C457" i="1"/>
  <c r="E456" i="1"/>
  <c r="C458" i="1" l="1"/>
  <c r="D457" i="1"/>
  <c r="D458" i="1" s="1"/>
  <c r="E457" i="1" l="1"/>
  <c r="C459" i="1"/>
  <c r="E458" i="1"/>
  <c r="C460" i="1" l="1"/>
  <c r="D459" i="1"/>
  <c r="D460" i="1" s="1"/>
  <c r="E459" i="1" l="1"/>
  <c r="C461" i="1"/>
  <c r="E460" i="1"/>
  <c r="D461" i="1"/>
  <c r="C462" i="1" l="1"/>
  <c r="D462" i="1" s="1"/>
  <c r="E461" i="1"/>
  <c r="C463" i="1" l="1"/>
  <c r="E462" i="1"/>
  <c r="D463" i="1"/>
  <c r="C464" i="1" l="1"/>
  <c r="D464" i="1" s="1"/>
  <c r="E463" i="1"/>
  <c r="C465" i="1" l="1"/>
  <c r="E464" i="1"/>
  <c r="C466" i="1" l="1"/>
  <c r="D465" i="1"/>
  <c r="D466" i="1" s="1"/>
  <c r="E465" i="1" l="1"/>
  <c r="C467" i="1"/>
  <c r="E466" i="1"/>
  <c r="C468" i="1" l="1"/>
  <c r="D467" i="1"/>
  <c r="D468" i="1" s="1"/>
  <c r="E467" i="1" l="1"/>
  <c r="C469" i="1"/>
  <c r="D469" i="1" s="1"/>
  <c r="E468" i="1"/>
  <c r="C470" i="1" l="1"/>
  <c r="D470" i="1" s="1"/>
  <c r="E469" i="1"/>
  <c r="C471" i="1" l="1"/>
  <c r="E470" i="1"/>
  <c r="C472" i="1" l="1"/>
  <c r="D471" i="1"/>
  <c r="D472" i="1" s="1"/>
  <c r="E471" i="1" l="1"/>
  <c r="C473" i="1"/>
  <c r="D473" i="1" s="1"/>
  <c r="E472" i="1"/>
  <c r="C474" i="1" l="1"/>
  <c r="D474" i="1" s="1"/>
  <c r="E473" i="1"/>
  <c r="C475" i="1" l="1"/>
  <c r="E474" i="1"/>
  <c r="D475" i="1"/>
  <c r="C476" i="1" l="1"/>
  <c r="D476" i="1" s="1"/>
  <c r="E475" i="1"/>
  <c r="C477" i="1" l="1"/>
  <c r="D477" i="1" s="1"/>
  <c r="E476" i="1"/>
  <c r="C478" i="1" l="1"/>
  <c r="E477" i="1"/>
  <c r="D478" i="1"/>
  <c r="C479" i="1" l="1"/>
  <c r="E478" i="1"/>
  <c r="D479" i="1"/>
  <c r="C480" i="1" l="1"/>
  <c r="E479" i="1"/>
  <c r="D480" i="1"/>
  <c r="C481" i="1" l="1"/>
  <c r="D481" i="1" s="1"/>
  <c r="E480" i="1"/>
  <c r="C482" i="1" l="1"/>
  <c r="E481" i="1"/>
  <c r="C483" i="1" l="1"/>
  <c r="D482" i="1"/>
  <c r="D483" i="1" s="1"/>
  <c r="E482" i="1" l="1"/>
  <c r="C484" i="1"/>
  <c r="E483" i="1"/>
  <c r="D484" i="1"/>
  <c r="C485" i="1" l="1"/>
  <c r="E484" i="1"/>
  <c r="C486" i="1" l="1"/>
  <c r="D485" i="1"/>
  <c r="D486" i="1" s="1"/>
  <c r="E485" i="1" l="1"/>
  <c r="C487" i="1"/>
  <c r="E486" i="1"/>
  <c r="C488" i="1" l="1"/>
  <c r="D487" i="1"/>
  <c r="D488" i="1" s="1"/>
  <c r="E487" i="1" l="1"/>
  <c r="C489" i="1"/>
  <c r="E488" i="1"/>
  <c r="C490" i="1" l="1"/>
  <c r="D489" i="1"/>
  <c r="D490" i="1" s="1"/>
  <c r="E489" i="1" l="1"/>
  <c r="C491" i="1"/>
  <c r="E490" i="1"/>
  <c r="C492" i="1" l="1"/>
  <c r="D491" i="1"/>
  <c r="D492" i="1" s="1"/>
  <c r="E491" i="1" l="1"/>
  <c r="C493" i="1"/>
  <c r="E492" i="1"/>
  <c r="C494" i="1" l="1"/>
  <c r="D493" i="1"/>
  <c r="D494" i="1" s="1"/>
  <c r="E493" i="1" l="1"/>
  <c r="C495" i="1"/>
  <c r="E494" i="1"/>
  <c r="C496" i="1" l="1"/>
  <c r="D495" i="1"/>
  <c r="D496" i="1" s="1"/>
  <c r="E495" i="1" l="1"/>
  <c r="C497" i="1"/>
  <c r="E496" i="1"/>
  <c r="C498" i="1" l="1"/>
  <c r="D497" i="1"/>
  <c r="D498" i="1" s="1"/>
  <c r="E497" i="1" l="1"/>
  <c r="C499" i="1"/>
  <c r="E498" i="1"/>
  <c r="C500" i="1" l="1"/>
  <c r="D499" i="1"/>
  <c r="D500" i="1" s="1"/>
  <c r="E499" i="1" l="1"/>
  <c r="C501" i="1"/>
  <c r="E500" i="1"/>
  <c r="C502" i="1" l="1"/>
  <c r="D501" i="1"/>
  <c r="D502" i="1" s="1"/>
  <c r="E501" i="1" l="1"/>
  <c r="C503" i="1"/>
  <c r="E502" i="1"/>
  <c r="C504" i="1" l="1"/>
  <c r="D503" i="1"/>
  <c r="D504" i="1" s="1"/>
  <c r="E503" i="1" l="1"/>
  <c r="C505" i="1"/>
  <c r="E504" i="1"/>
  <c r="C506" i="1" l="1"/>
  <c r="D505" i="1"/>
  <c r="D506" i="1" s="1"/>
  <c r="E505" i="1" l="1"/>
  <c r="C507" i="1"/>
  <c r="E506" i="1"/>
  <c r="C508" i="1" l="1"/>
  <c r="D507" i="1"/>
  <c r="D508" i="1" s="1"/>
  <c r="E507" i="1" l="1"/>
  <c r="C509" i="1"/>
  <c r="E508" i="1"/>
  <c r="C510" i="1" l="1"/>
  <c r="D509" i="1"/>
  <c r="D510" i="1" s="1"/>
  <c r="E509" i="1" l="1"/>
  <c r="C511" i="1"/>
  <c r="E510" i="1"/>
  <c r="C512" i="1" l="1"/>
  <c r="D511" i="1"/>
  <c r="D512" i="1" s="1"/>
  <c r="E511" i="1" l="1"/>
  <c r="C513" i="1"/>
  <c r="E512" i="1"/>
  <c r="C514" i="1" l="1"/>
  <c r="D513" i="1"/>
  <c r="D514" i="1" s="1"/>
  <c r="E513" i="1" l="1"/>
  <c r="C515" i="1"/>
  <c r="E514" i="1"/>
  <c r="C516" i="1" l="1"/>
  <c r="D515" i="1"/>
  <c r="D516" i="1" s="1"/>
  <c r="E515" i="1" l="1"/>
  <c r="C517" i="1"/>
  <c r="E516" i="1"/>
  <c r="C518" i="1" l="1"/>
  <c r="D517" i="1"/>
  <c r="D518" i="1" l="1"/>
  <c r="E517" i="1"/>
  <c r="C519" i="1"/>
  <c r="E518" i="1"/>
  <c r="C520" i="1" l="1"/>
  <c r="D519" i="1"/>
  <c r="C521" i="1" l="1"/>
  <c r="D520" i="1"/>
  <c r="D521" i="1" s="1"/>
  <c r="E519" i="1"/>
  <c r="E520" i="1" l="1"/>
  <c r="C522" i="1"/>
  <c r="D522" i="1" s="1"/>
  <c r="E521" i="1"/>
  <c r="C523" i="1" l="1"/>
  <c r="E522" i="1"/>
  <c r="D523" i="1"/>
  <c r="C524" i="1" l="1"/>
  <c r="E523" i="1"/>
  <c r="C525" i="1" l="1"/>
  <c r="D524" i="1"/>
  <c r="D525" i="1" s="1"/>
  <c r="E524" i="1" l="1"/>
  <c r="C526" i="1"/>
  <c r="E525" i="1"/>
  <c r="C527" i="1" l="1"/>
  <c r="D526" i="1"/>
  <c r="D527" i="1" s="1"/>
  <c r="E526" i="1" l="1"/>
  <c r="C528" i="1"/>
  <c r="E527" i="1"/>
  <c r="C529" i="1" l="1"/>
  <c r="D528" i="1"/>
  <c r="D529" i="1" s="1"/>
  <c r="E528" i="1" l="1"/>
  <c r="C530" i="1"/>
  <c r="E529" i="1"/>
  <c r="C531" i="1" l="1"/>
  <c r="D530" i="1"/>
  <c r="D531" i="1" s="1"/>
  <c r="E530" i="1" l="1"/>
  <c r="C532" i="1"/>
  <c r="E531" i="1"/>
  <c r="C533" i="1" l="1"/>
  <c r="D532" i="1"/>
  <c r="D533" i="1" s="1"/>
  <c r="E532" i="1" l="1"/>
  <c r="C534" i="1"/>
  <c r="E533" i="1"/>
  <c r="C535" i="1" l="1"/>
  <c r="D534" i="1"/>
  <c r="D535" i="1" s="1"/>
  <c r="E534" i="1" l="1"/>
  <c r="C536" i="1"/>
  <c r="E535" i="1"/>
  <c r="C537" i="1" l="1"/>
  <c r="D536" i="1"/>
  <c r="D537" i="1" s="1"/>
  <c r="E536" i="1" l="1"/>
  <c r="C538" i="1"/>
  <c r="D538" i="1" s="1"/>
  <c r="E537" i="1"/>
  <c r="C539" i="1" l="1"/>
  <c r="E538" i="1"/>
  <c r="D539" i="1"/>
  <c r="C540" i="1" l="1"/>
  <c r="E539" i="1"/>
  <c r="C541" i="1" l="1"/>
  <c r="D540" i="1"/>
  <c r="D541" i="1" s="1"/>
  <c r="E540" i="1" l="1"/>
  <c r="C542" i="1"/>
  <c r="E541" i="1"/>
  <c r="C543" i="1" l="1"/>
  <c r="D542" i="1"/>
  <c r="D543" i="1" s="1"/>
  <c r="E542" i="1" l="1"/>
  <c r="C544" i="1"/>
  <c r="E543" i="1"/>
  <c r="C545" i="1" l="1"/>
  <c r="D544" i="1"/>
  <c r="D545" i="1" s="1"/>
  <c r="E544" i="1" l="1"/>
  <c r="C546" i="1"/>
  <c r="E545" i="1"/>
  <c r="C547" i="1" l="1"/>
  <c r="D546" i="1"/>
  <c r="D547" i="1" s="1"/>
  <c r="E546" i="1" l="1"/>
  <c r="C548" i="1"/>
  <c r="E547" i="1"/>
  <c r="C549" i="1" l="1"/>
  <c r="D548" i="1"/>
  <c r="D549" i="1" s="1"/>
  <c r="E548" i="1" l="1"/>
  <c r="C550" i="1"/>
  <c r="E549" i="1"/>
  <c r="C551" i="1" l="1"/>
  <c r="D550" i="1"/>
  <c r="D551" i="1" s="1"/>
  <c r="E550" i="1" l="1"/>
  <c r="C552" i="1"/>
  <c r="E551" i="1"/>
  <c r="C553" i="1" l="1"/>
  <c r="D552" i="1"/>
  <c r="D553" i="1" s="1"/>
  <c r="E552" i="1" l="1"/>
  <c r="C554" i="1"/>
  <c r="E553" i="1"/>
  <c r="C555" i="1" l="1"/>
  <c r="D554" i="1"/>
  <c r="D555" i="1" s="1"/>
  <c r="E554" i="1" l="1"/>
  <c r="C556" i="1"/>
  <c r="E555" i="1"/>
  <c r="C557" i="1" l="1"/>
  <c r="D556" i="1"/>
  <c r="D557" i="1" l="1"/>
  <c r="E556" i="1"/>
  <c r="C558" i="1"/>
  <c r="E557" i="1"/>
  <c r="C559" i="1" l="1"/>
  <c r="D558" i="1"/>
  <c r="D559" i="1" s="1"/>
  <c r="E558" i="1" l="1"/>
  <c r="C560" i="1"/>
  <c r="E559" i="1"/>
  <c r="C561" i="1" l="1"/>
  <c r="D560" i="1"/>
  <c r="D561" i="1" s="1"/>
  <c r="E560" i="1" l="1"/>
  <c r="C562" i="1"/>
  <c r="E561" i="1"/>
  <c r="C563" i="1" l="1"/>
  <c r="D562" i="1"/>
  <c r="D563" i="1" s="1"/>
  <c r="E562" i="1" l="1"/>
  <c r="C564" i="1"/>
  <c r="E563" i="1"/>
  <c r="C565" i="1" l="1"/>
  <c r="D564" i="1"/>
  <c r="D565" i="1" s="1"/>
  <c r="E564" i="1" l="1"/>
  <c r="C566" i="1"/>
  <c r="E565" i="1"/>
  <c r="C567" i="1" l="1"/>
  <c r="D566" i="1"/>
  <c r="D567" i="1" s="1"/>
  <c r="E566" i="1" l="1"/>
  <c r="C568" i="1"/>
  <c r="E567" i="1"/>
  <c r="C569" i="1" l="1"/>
  <c r="D568" i="1"/>
  <c r="D569" i="1" s="1"/>
  <c r="E568" i="1" l="1"/>
  <c r="C570" i="1"/>
  <c r="E569" i="1"/>
  <c r="C571" i="1" l="1"/>
  <c r="D570" i="1"/>
  <c r="D571" i="1" s="1"/>
  <c r="E570" i="1" l="1"/>
  <c r="C572" i="1"/>
  <c r="E571" i="1"/>
  <c r="C573" i="1" l="1"/>
  <c r="D572" i="1"/>
  <c r="D573" i="1" s="1"/>
  <c r="E572" i="1" l="1"/>
  <c r="C574" i="1"/>
  <c r="E573" i="1"/>
  <c r="C575" i="1" l="1"/>
  <c r="D574" i="1"/>
  <c r="D575" i="1" s="1"/>
  <c r="E574" i="1" l="1"/>
  <c r="C576" i="1"/>
  <c r="E575" i="1"/>
  <c r="C577" i="1" l="1"/>
  <c r="D576" i="1"/>
  <c r="D577" i="1" s="1"/>
  <c r="E576" i="1" l="1"/>
  <c r="C578" i="1"/>
  <c r="E577" i="1"/>
  <c r="C579" i="1" l="1"/>
  <c r="D578" i="1"/>
  <c r="D579" i="1" s="1"/>
  <c r="E578" i="1" l="1"/>
  <c r="C580" i="1"/>
  <c r="E579" i="1"/>
  <c r="C581" i="1" l="1"/>
  <c r="D580" i="1"/>
  <c r="D581" i="1" s="1"/>
  <c r="E580" i="1" l="1"/>
  <c r="C582" i="1"/>
  <c r="E581" i="1"/>
  <c r="C583" i="1" l="1"/>
  <c r="D582" i="1"/>
  <c r="D583" i="1" s="1"/>
  <c r="E582" i="1" l="1"/>
  <c r="C584" i="1"/>
  <c r="E583" i="1"/>
  <c r="C585" i="1" l="1"/>
  <c r="D584" i="1"/>
  <c r="D585" i="1" s="1"/>
  <c r="E584" i="1" l="1"/>
  <c r="C586" i="1"/>
  <c r="E585" i="1"/>
  <c r="C587" i="1" l="1"/>
  <c r="D586" i="1"/>
  <c r="D587" i="1" s="1"/>
  <c r="E586" i="1" l="1"/>
  <c r="C588" i="1"/>
  <c r="E587" i="1"/>
  <c r="C589" i="1" l="1"/>
  <c r="D588" i="1"/>
  <c r="D589" i="1" s="1"/>
  <c r="E588" i="1" l="1"/>
  <c r="C590" i="1"/>
  <c r="E589" i="1"/>
  <c r="C591" i="1" l="1"/>
  <c r="D590" i="1"/>
  <c r="D591" i="1" s="1"/>
  <c r="E590" i="1" l="1"/>
  <c r="C592" i="1"/>
  <c r="E591" i="1"/>
  <c r="C593" i="1" l="1"/>
  <c r="D592" i="1"/>
  <c r="D593" i="1" s="1"/>
  <c r="E592" i="1" l="1"/>
  <c r="C594" i="1"/>
  <c r="E593" i="1"/>
  <c r="C595" i="1" l="1"/>
  <c r="D594" i="1"/>
  <c r="D595" i="1" s="1"/>
  <c r="E594" i="1" l="1"/>
  <c r="C596" i="1"/>
  <c r="E595" i="1"/>
  <c r="C597" i="1" l="1"/>
  <c r="D596" i="1"/>
  <c r="D597" i="1" s="1"/>
  <c r="E596" i="1" l="1"/>
  <c r="C598" i="1"/>
  <c r="E597" i="1"/>
  <c r="C599" i="1" l="1"/>
  <c r="D598" i="1"/>
  <c r="D599" i="1" s="1"/>
  <c r="E598" i="1" l="1"/>
  <c r="C600" i="1"/>
  <c r="E599" i="1"/>
  <c r="C601" i="1" l="1"/>
  <c r="D600" i="1"/>
  <c r="D601" i="1" s="1"/>
  <c r="E600" i="1" l="1"/>
  <c r="C602" i="1"/>
  <c r="E601" i="1"/>
  <c r="C603" i="1" l="1"/>
  <c r="D602" i="1"/>
  <c r="D603" i="1" s="1"/>
  <c r="E602" i="1" l="1"/>
  <c r="C604" i="1"/>
  <c r="E603" i="1"/>
  <c r="C605" i="1" l="1"/>
  <c r="D604" i="1"/>
  <c r="D605" i="1" s="1"/>
  <c r="E604" i="1" l="1"/>
  <c r="C606" i="1"/>
  <c r="E605" i="1"/>
  <c r="C607" i="1" l="1"/>
  <c r="D606" i="1"/>
  <c r="D607" i="1" s="1"/>
  <c r="E606" i="1" l="1"/>
  <c r="C608" i="1"/>
  <c r="E607" i="1"/>
  <c r="C609" i="1" l="1"/>
  <c r="D608" i="1"/>
  <c r="D609" i="1" s="1"/>
  <c r="E608" i="1" l="1"/>
  <c r="C610" i="1"/>
  <c r="E609" i="1"/>
  <c r="C611" i="1" l="1"/>
  <c r="D610" i="1"/>
  <c r="D611" i="1" s="1"/>
  <c r="E610" i="1" l="1"/>
  <c r="C612" i="1"/>
  <c r="E611" i="1"/>
  <c r="C613" i="1" l="1"/>
  <c r="D612" i="1"/>
  <c r="D613" i="1" s="1"/>
  <c r="E612" i="1" l="1"/>
  <c r="C614" i="1"/>
  <c r="E613" i="1"/>
  <c r="C615" i="1" l="1"/>
  <c r="D614" i="1"/>
  <c r="D615" i="1" s="1"/>
  <c r="E614" i="1" l="1"/>
  <c r="C616" i="1"/>
  <c r="E615" i="1"/>
  <c r="C617" i="1" l="1"/>
  <c r="D616" i="1"/>
  <c r="D617" i="1" s="1"/>
  <c r="E616" i="1" l="1"/>
  <c r="C618" i="1"/>
  <c r="E617" i="1"/>
  <c r="C619" i="1" l="1"/>
  <c r="D618" i="1"/>
  <c r="D619" i="1" s="1"/>
  <c r="E618" i="1" l="1"/>
  <c r="C620" i="1"/>
  <c r="E619" i="1"/>
  <c r="C621" i="1" l="1"/>
  <c r="D620" i="1"/>
  <c r="D621" i="1" s="1"/>
  <c r="E620" i="1" l="1"/>
  <c r="C622" i="1"/>
  <c r="E621" i="1"/>
  <c r="C623" i="1" l="1"/>
  <c r="D622" i="1"/>
  <c r="D623" i="1" s="1"/>
  <c r="E622" i="1" l="1"/>
  <c r="C624" i="1"/>
  <c r="E623" i="1"/>
  <c r="C625" i="1" l="1"/>
  <c r="D624" i="1"/>
  <c r="D625" i="1" s="1"/>
  <c r="E624" i="1" l="1"/>
  <c r="C626" i="1"/>
  <c r="E625" i="1"/>
  <c r="C627" i="1" l="1"/>
  <c r="D626" i="1"/>
  <c r="D627" i="1" s="1"/>
  <c r="E626" i="1" l="1"/>
  <c r="C628" i="1"/>
  <c r="E627" i="1"/>
  <c r="C629" i="1" l="1"/>
  <c r="D628" i="1"/>
  <c r="D629" i="1" s="1"/>
  <c r="E628" i="1" l="1"/>
  <c r="C630" i="1"/>
  <c r="E629" i="1"/>
  <c r="C631" i="1" l="1"/>
  <c r="D630" i="1"/>
  <c r="D631" i="1" s="1"/>
  <c r="E630" i="1" l="1"/>
  <c r="C632" i="1"/>
  <c r="E631" i="1"/>
  <c r="C633" i="1" l="1"/>
  <c r="D632" i="1"/>
  <c r="D633" i="1" s="1"/>
  <c r="E632" i="1" l="1"/>
  <c r="C634" i="1"/>
  <c r="E633" i="1"/>
  <c r="C635" i="1" l="1"/>
  <c r="D634" i="1"/>
  <c r="D635" i="1" s="1"/>
  <c r="E634" i="1" l="1"/>
  <c r="C636" i="1"/>
  <c r="E635" i="1"/>
  <c r="C637" i="1" l="1"/>
  <c r="D636" i="1"/>
  <c r="D637" i="1" s="1"/>
  <c r="E636" i="1" l="1"/>
  <c r="C638" i="1"/>
  <c r="E637" i="1"/>
  <c r="C639" i="1" l="1"/>
  <c r="D638" i="1"/>
  <c r="D639" i="1" s="1"/>
  <c r="E638" i="1" l="1"/>
  <c r="C640" i="1"/>
  <c r="E639" i="1"/>
  <c r="C641" i="1" l="1"/>
  <c r="D640" i="1"/>
  <c r="D641" i="1" s="1"/>
  <c r="E640" i="1" l="1"/>
  <c r="C642" i="1"/>
  <c r="E641" i="1"/>
  <c r="C643" i="1" l="1"/>
  <c r="D642" i="1"/>
  <c r="D643" i="1" s="1"/>
  <c r="E642" i="1" l="1"/>
  <c r="C644" i="1"/>
  <c r="E643" i="1"/>
  <c r="C645" i="1" l="1"/>
  <c r="D644" i="1"/>
  <c r="D645" i="1" s="1"/>
  <c r="E644" i="1" l="1"/>
  <c r="C646" i="1"/>
  <c r="E645" i="1"/>
  <c r="C647" i="1" l="1"/>
  <c r="D646" i="1"/>
  <c r="D647" i="1" s="1"/>
  <c r="E646" i="1" l="1"/>
  <c r="C648" i="1"/>
  <c r="E647" i="1"/>
  <c r="C649" i="1" l="1"/>
  <c r="D648" i="1"/>
  <c r="D649" i="1" s="1"/>
  <c r="E648" i="1" l="1"/>
  <c r="C650" i="1"/>
  <c r="E649" i="1"/>
  <c r="C651" i="1" l="1"/>
  <c r="D650" i="1"/>
  <c r="D651" i="1" s="1"/>
  <c r="E650" i="1" l="1"/>
  <c r="C652" i="1"/>
  <c r="E651" i="1"/>
  <c r="C653" i="1" l="1"/>
  <c r="D652" i="1"/>
  <c r="D653" i="1" s="1"/>
  <c r="E652" i="1" l="1"/>
  <c r="C654" i="1"/>
  <c r="E653" i="1"/>
  <c r="C655" i="1" l="1"/>
  <c r="D654" i="1"/>
  <c r="D655" i="1" s="1"/>
  <c r="E654" i="1" l="1"/>
  <c r="C656" i="1"/>
  <c r="E655" i="1"/>
  <c r="C657" i="1" l="1"/>
  <c r="D656" i="1"/>
  <c r="D657" i="1" s="1"/>
  <c r="E656" i="1" l="1"/>
  <c r="C658" i="1"/>
  <c r="E657" i="1"/>
  <c r="C659" i="1" l="1"/>
  <c r="D658" i="1"/>
  <c r="D659" i="1" s="1"/>
  <c r="E658" i="1" l="1"/>
  <c r="C660" i="1"/>
  <c r="E659" i="1"/>
  <c r="C661" i="1" l="1"/>
  <c r="D660" i="1"/>
  <c r="D661" i="1" s="1"/>
  <c r="E660" i="1" l="1"/>
  <c r="C662" i="1"/>
  <c r="E661" i="1"/>
  <c r="C663" i="1" l="1"/>
  <c r="D662" i="1"/>
  <c r="D663" i="1" s="1"/>
  <c r="E662" i="1" l="1"/>
  <c r="C664" i="1"/>
  <c r="E663" i="1"/>
  <c r="C665" i="1" l="1"/>
  <c r="D664" i="1"/>
  <c r="D665" i="1" s="1"/>
  <c r="E664" i="1" l="1"/>
  <c r="C666" i="1"/>
  <c r="E665" i="1"/>
  <c r="C667" i="1" l="1"/>
  <c r="D666" i="1"/>
  <c r="D667" i="1" s="1"/>
  <c r="E666" i="1" l="1"/>
  <c r="C668" i="1"/>
  <c r="E667" i="1"/>
  <c r="C669" i="1" l="1"/>
  <c r="D668" i="1"/>
  <c r="D669" i="1" s="1"/>
  <c r="E668" i="1" l="1"/>
  <c r="C670" i="1"/>
  <c r="E669" i="1"/>
  <c r="C671" i="1" l="1"/>
  <c r="D670" i="1"/>
  <c r="D671" i="1" s="1"/>
  <c r="E670" i="1" l="1"/>
  <c r="C672" i="1"/>
  <c r="E671" i="1"/>
  <c r="C673" i="1" l="1"/>
  <c r="D672" i="1"/>
  <c r="D673" i="1" s="1"/>
  <c r="E672" i="1" l="1"/>
  <c r="C674" i="1"/>
  <c r="E673" i="1"/>
  <c r="C675" i="1" l="1"/>
  <c r="D674" i="1"/>
  <c r="D675" i="1" s="1"/>
  <c r="E674" i="1" l="1"/>
  <c r="C676" i="1"/>
  <c r="E675" i="1"/>
  <c r="C677" i="1" l="1"/>
  <c r="D676" i="1"/>
  <c r="D677" i="1" s="1"/>
  <c r="E676" i="1" l="1"/>
  <c r="C678" i="1"/>
  <c r="E677" i="1"/>
  <c r="C679" i="1" l="1"/>
  <c r="D678" i="1"/>
  <c r="D679" i="1" s="1"/>
  <c r="E678" i="1" l="1"/>
  <c r="C680" i="1"/>
  <c r="E679" i="1"/>
  <c r="C681" i="1" l="1"/>
  <c r="D680" i="1"/>
  <c r="D681" i="1" s="1"/>
  <c r="E680" i="1" l="1"/>
  <c r="C682" i="1"/>
  <c r="E681" i="1"/>
  <c r="C683" i="1" l="1"/>
  <c r="D682" i="1"/>
  <c r="D683" i="1" s="1"/>
  <c r="E682" i="1" l="1"/>
  <c r="C684" i="1"/>
  <c r="E683" i="1"/>
  <c r="C685" i="1" l="1"/>
  <c r="D684" i="1"/>
  <c r="D685" i="1" s="1"/>
  <c r="E684" i="1" l="1"/>
  <c r="C686" i="1"/>
  <c r="E685" i="1"/>
  <c r="C687" i="1" l="1"/>
  <c r="D686" i="1"/>
  <c r="D687" i="1" s="1"/>
  <c r="E686" i="1" l="1"/>
  <c r="C688" i="1"/>
  <c r="E687" i="1"/>
  <c r="C689" i="1" l="1"/>
  <c r="D688" i="1"/>
  <c r="D689" i="1" s="1"/>
  <c r="E688" i="1" l="1"/>
  <c r="C690" i="1"/>
  <c r="E689" i="1"/>
  <c r="C691" i="1" l="1"/>
  <c r="D690" i="1"/>
  <c r="D691" i="1" s="1"/>
  <c r="E690" i="1" l="1"/>
  <c r="C692" i="1"/>
  <c r="E691" i="1"/>
  <c r="C693" i="1" l="1"/>
  <c r="D692" i="1"/>
  <c r="D693" i="1" s="1"/>
  <c r="E692" i="1" l="1"/>
  <c r="C694" i="1"/>
  <c r="E693" i="1"/>
  <c r="C695" i="1" l="1"/>
  <c r="D694" i="1"/>
  <c r="D695" i="1" s="1"/>
  <c r="E694" i="1" l="1"/>
  <c r="C696" i="1"/>
  <c r="E695" i="1"/>
  <c r="C697" i="1" l="1"/>
  <c r="D696" i="1"/>
  <c r="D697" i="1" s="1"/>
  <c r="E696" i="1" l="1"/>
  <c r="C698" i="1"/>
  <c r="E697" i="1"/>
  <c r="C699" i="1" l="1"/>
  <c r="D698" i="1"/>
  <c r="D699" i="1" s="1"/>
  <c r="E698" i="1" l="1"/>
  <c r="C700" i="1"/>
  <c r="E699" i="1"/>
  <c r="C701" i="1" l="1"/>
  <c r="D700" i="1"/>
  <c r="D701" i="1" s="1"/>
  <c r="E700" i="1" l="1"/>
  <c r="C702" i="1"/>
  <c r="E701" i="1"/>
  <c r="C703" i="1" l="1"/>
  <c r="D702" i="1"/>
  <c r="D703" i="1" s="1"/>
  <c r="E702" i="1" l="1"/>
  <c r="C704" i="1"/>
  <c r="E703" i="1"/>
  <c r="C705" i="1" l="1"/>
  <c r="D704" i="1"/>
  <c r="D705" i="1" s="1"/>
  <c r="E704" i="1" l="1"/>
  <c r="C706" i="1"/>
  <c r="E705" i="1"/>
  <c r="C707" i="1" l="1"/>
  <c r="D706" i="1"/>
  <c r="D707" i="1" s="1"/>
  <c r="E706" i="1" l="1"/>
  <c r="C708" i="1"/>
  <c r="E707" i="1"/>
  <c r="C709" i="1" l="1"/>
  <c r="D708" i="1"/>
  <c r="D709" i="1" s="1"/>
  <c r="E708" i="1" l="1"/>
  <c r="C710" i="1"/>
  <c r="E709" i="1"/>
  <c r="C711" i="1" l="1"/>
  <c r="D710" i="1"/>
  <c r="C712" i="1" l="1"/>
  <c r="D711" i="1"/>
  <c r="D712" i="1" s="1"/>
  <c r="E710" i="1"/>
  <c r="E711" i="1" l="1"/>
  <c r="C713" i="1"/>
  <c r="E712" i="1"/>
  <c r="C714" i="1" l="1"/>
  <c r="D713" i="1"/>
  <c r="D714" i="1" s="1"/>
  <c r="E713" i="1" l="1"/>
  <c r="C715" i="1"/>
  <c r="E714" i="1"/>
  <c r="C716" i="1" l="1"/>
  <c r="D715" i="1"/>
  <c r="D716" i="1" s="1"/>
  <c r="E715" i="1" l="1"/>
  <c r="C717" i="1"/>
  <c r="E716" i="1"/>
  <c r="C718" i="1" l="1"/>
  <c r="D717" i="1"/>
  <c r="D718" i="1" s="1"/>
  <c r="E717" i="1" l="1"/>
  <c r="C719" i="1"/>
  <c r="E718" i="1"/>
  <c r="C720" i="1" l="1"/>
  <c r="D719" i="1"/>
  <c r="D720" i="1" s="1"/>
  <c r="E719" i="1" l="1"/>
  <c r="C721" i="1"/>
  <c r="E720" i="1"/>
  <c r="C722" i="1" l="1"/>
  <c r="D721" i="1"/>
  <c r="D722" i="1" s="1"/>
  <c r="E721" i="1" l="1"/>
  <c r="C723" i="1"/>
  <c r="E722" i="1"/>
  <c r="C724" i="1" l="1"/>
  <c r="D723" i="1"/>
  <c r="D724" i="1" s="1"/>
  <c r="E723" i="1" l="1"/>
  <c r="C725" i="1"/>
  <c r="E724" i="1"/>
  <c r="C726" i="1" l="1"/>
  <c r="D725" i="1"/>
  <c r="D726" i="1" s="1"/>
  <c r="E725" i="1" l="1"/>
  <c r="C727" i="1"/>
  <c r="E726" i="1"/>
  <c r="C728" i="1" l="1"/>
  <c r="D727" i="1"/>
  <c r="D728" i="1" s="1"/>
  <c r="E727" i="1" l="1"/>
  <c r="C729" i="1"/>
  <c r="E728" i="1"/>
  <c r="C730" i="1" l="1"/>
  <c r="D729" i="1"/>
  <c r="D730" i="1" s="1"/>
  <c r="E729" i="1" l="1"/>
  <c r="C731" i="1"/>
  <c r="E730" i="1"/>
  <c r="C732" i="1" l="1"/>
  <c r="D731" i="1"/>
  <c r="D732" i="1" s="1"/>
  <c r="E731" i="1" l="1"/>
  <c r="C733" i="1"/>
  <c r="E732" i="1"/>
  <c r="C734" i="1" l="1"/>
  <c r="D733" i="1"/>
  <c r="D734" i="1" s="1"/>
  <c r="E733" i="1" l="1"/>
  <c r="C735" i="1"/>
  <c r="E734" i="1"/>
  <c r="C736" i="1" l="1"/>
  <c r="D735" i="1"/>
  <c r="D736" i="1" l="1"/>
  <c r="E736" i="1" s="1"/>
  <c r="E735" i="1"/>
  <c r="C737" i="1"/>
  <c r="C738" i="1" l="1"/>
  <c r="D737" i="1"/>
  <c r="D738" i="1" s="1"/>
  <c r="E737" i="1" l="1"/>
  <c r="C739" i="1"/>
  <c r="E738" i="1"/>
  <c r="C740" i="1" l="1"/>
  <c r="D739" i="1"/>
  <c r="D740" i="1" s="1"/>
  <c r="E739" i="1" l="1"/>
  <c r="C741" i="1"/>
  <c r="E740" i="1"/>
  <c r="C742" i="1" l="1"/>
  <c r="D741" i="1"/>
  <c r="D742" i="1" s="1"/>
  <c r="E741" i="1" l="1"/>
  <c r="C743" i="1"/>
  <c r="E742" i="1"/>
  <c r="C744" i="1" l="1"/>
  <c r="D743" i="1"/>
  <c r="D744" i="1" s="1"/>
  <c r="E743" i="1" l="1"/>
  <c r="C745" i="1"/>
  <c r="E744" i="1"/>
  <c r="C746" i="1" l="1"/>
  <c r="D745" i="1"/>
  <c r="D746" i="1" s="1"/>
  <c r="E745" i="1" l="1"/>
  <c r="C747" i="1"/>
  <c r="E746" i="1"/>
  <c r="C748" i="1" l="1"/>
  <c r="D747" i="1"/>
  <c r="D748" i="1" s="1"/>
  <c r="E747" i="1" l="1"/>
  <c r="C749" i="1"/>
  <c r="E748" i="1"/>
  <c r="C750" i="1" l="1"/>
  <c r="D749" i="1"/>
  <c r="D750" i="1" s="1"/>
  <c r="E749" i="1" l="1"/>
  <c r="C751" i="1"/>
  <c r="E750" i="1"/>
  <c r="C752" i="1" l="1"/>
  <c r="D751" i="1"/>
  <c r="D752" i="1" l="1"/>
  <c r="E752" i="1" s="1"/>
  <c r="E751" i="1"/>
  <c r="C753" i="1"/>
  <c r="C754" i="1" l="1"/>
  <c r="D753" i="1"/>
  <c r="D754" i="1" s="1"/>
  <c r="E753" i="1" l="1"/>
  <c r="C755" i="1"/>
  <c r="E754" i="1"/>
  <c r="C756" i="1" l="1"/>
  <c r="D755" i="1"/>
  <c r="D756" i="1" s="1"/>
  <c r="E755" i="1" l="1"/>
  <c r="C757" i="1"/>
  <c r="E756" i="1"/>
  <c r="C758" i="1" l="1"/>
  <c r="D757" i="1"/>
  <c r="D758" i="1" s="1"/>
  <c r="E757" i="1" l="1"/>
  <c r="C759" i="1"/>
  <c r="E758" i="1"/>
  <c r="C760" i="1" l="1"/>
  <c r="D759" i="1"/>
  <c r="D760" i="1" s="1"/>
  <c r="E759" i="1" l="1"/>
  <c r="C761" i="1"/>
  <c r="E760" i="1"/>
  <c r="C762" i="1" l="1"/>
  <c r="D761" i="1"/>
  <c r="D762" i="1" s="1"/>
  <c r="E761" i="1" l="1"/>
  <c r="C763" i="1"/>
  <c r="E762" i="1"/>
  <c r="C764" i="1" l="1"/>
  <c r="D763" i="1"/>
  <c r="D764" i="1" s="1"/>
  <c r="E763" i="1" l="1"/>
  <c r="C765" i="1"/>
  <c r="E764" i="1"/>
  <c r="C766" i="1" l="1"/>
  <c r="D765" i="1"/>
  <c r="D766" i="1" s="1"/>
  <c r="E765" i="1" l="1"/>
  <c r="C767" i="1"/>
  <c r="E766" i="1"/>
  <c r="C768" i="1" l="1"/>
  <c r="D767" i="1"/>
  <c r="D768" i="1" l="1"/>
  <c r="E768" i="1" s="1"/>
  <c r="E767" i="1"/>
  <c r="C769" i="1"/>
  <c r="C770" i="1" l="1"/>
  <c r="D769" i="1"/>
  <c r="D770" i="1" s="1"/>
  <c r="E769" i="1" l="1"/>
  <c r="C771" i="1"/>
  <c r="E770" i="1"/>
  <c r="C772" i="1" l="1"/>
  <c r="D771" i="1"/>
  <c r="D772" i="1" s="1"/>
  <c r="E771" i="1" l="1"/>
  <c r="C773" i="1"/>
  <c r="E772" i="1"/>
  <c r="C774" i="1" l="1"/>
  <c r="D773" i="1"/>
  <c r="D774" i="1" s="1"/>
  <c r="E773" i="1" l="1"/>
  <c r="C775" i="1"/>
  <c r="E774" i="1"/>
  <c r="C776" i="1" l="1"/>
  <c r="D775" i="1"/>
  <c r="D776" i="1" s="1"/>
  <c r="E775" i="1" l="1"/>
  <c r="C777" i="1"/>
  <c r="E776" i="1"/>
  <c r="C778" i="1" l="1"/>
  <c r="D777" i="1"/>
  <c r="D778" i="1" s="1"/>
  <c r="E777" i="1" l="1"/>
  <c r="C779" i="1"/>
  <c r="E778" i="1"/>
  <c r="C780" i="1" l="1"/>
  <c r="D779" i="1"/>
  <c r="D780" i="1" s="1"/>
  <c r="E779" i="1" l="1"/>
  <c r="C781" i="1"/>
  <c r="E780" i="1"/>
  <c r="C782" i="1" l="1"/>
  <c r="D781" i="1"/>
  <c r="D782" i="1" s="1"/>
  <c r="E781" i="1" l="1"/>
  <c r="C783" i="1"/>
  <c r="E782" i="1"/>
  <c r="C784" i="1" l="1"/>
  <c r="D783" i="1"/>
  <c r="D784" i="1" s="1"/>
  <c r="E783" i="1" l="1"/>
  <c r="C785" i="1"/>
  <c r="E784" i="1"/>
  <c r="C786" i="1" l="1"/>
  <c r="D785" i="1"/>
  <c r="D786" i="1" s="1"/>
  <c r="E785" i="1" l="1"/>
  <c r="C787" i="1"/>
  <c r="E786" i="1"/>
  <c r="C788" i="1" l="1"/>
  <c r="D787" i="1"/>
  <c r="D788" i="1" s="1"/>
  <c r="E787" i="1" l="1"/>
  <c r="C789" i="1"/>
  <c r="E788" i="1"/>
  <c r="C790" i="1" l="1"/>
  <c r="D789" i="1"/>
  <c r="D790" i="1" s="1"/>
  <c r="E789" i="1" l="1"/>
  <c r="C791" i="1"/>
  <c r="E790" i="1"/>
  <c r="C792" i="1" l="1"/>
  <c r="D791" i="1"/>
  <c r="D792" i="1" s="1"/>
  <c r="E791" i="1" l="1"/>
  <c r="C793" i="1"/>
  <c r="E792" i="1"/>
  <c r="C794" i="1" l="1"/>
  <c r="D793" i="1"/>
  <c r="D794" i="1" s="1"/>
  <c r="E793" i="1" l="1"/>
  <c r="C795" i="1"/>
  <c r="E794" i="1"/>
  <c r="C796" i="1" l="1"/>
  <c r="D795" i="1"/>
  <c r="D796" i="1" s="1"/>
  <c r="E795" i="1" l="1"/>
  <c r="C797" i="1"/>
  <c r="E796" i="1"/>
  <c r="C798" i="1" l="1"/>
  <c r="D797" i="1"/>
  <c r="D798" i="1" s="1"/>
  <c r="E797" i="1" l="1"/>
  <c r="C799" i="1"/>
  <c r="E798" i="1"/>
  <c r="C800" i="1" l="1"/>
  <c r="D799" i="1"/>
  <c r="D800" i="1" s="1"/>
  <c r="E799" i="1" l="1"/>
  <c r="C801" i="1"/>
  <c r="E800" i="1"/>
  <c r="C802" i="1" l="1"/>
  <c r="D801" i="1"/>
  <c r="D802" i="1" s="1"/>
  <c r="E801" i="1" l="1"/>
  <c r="C803" i="1"/>
  <c r="E802" i="1"/>
  <c r="C804" i="1" l="1"/>
  <c r="D803" i="1"/>
  <c r="D804" i="1" s="1"/>
  <c r="E803" i="1" l="1"/>
  <c r="C805" i="1"/>
  <c r="E804" i="1"/>
  <c r="C806" i="1" l="1"/>
  <c r="D805" i="1"/>
  <c r="D806" i="1" s="1"/>
  <c r="E805" i="1" l="1"/>
  <c r="C807" i="1"/>
  <c r="D807" i="1" s="1"/>
  <c r="E806" i="1"/>
  <c r="C808" i="1" l="1"/>
  <c r="D808" i="1" s="1"/>
  <c r="E807" i="1"/>
  <c r="C809" i="1" l="1"/>
  <c r="E808" i="1"/>
  <c r="D809" i="1"/>
  <c r="C810" i="1" l="1"/>
  <c r="E809" i="1"/>
  <c r="C811" i="1" l="1"/>
  <c r="D810" i="1"/>
  <c r="D811" i="1" s="1"/>
  <c r="E810" i="1" l="1"/>
  <c r="C812" i="1"/>
  <c r="E811" i="1"/>
  <c r="C813" i="1" l="1"/>
  <c r="D812" i="1"/>
  <c r="C814" i="1" l="1"/>
  <c r="D813" i="1"/>
  <c r="D814" i="1" s="1"/>
  <c r="E812" i="1"/>
  <c r="E813" i="1" l="1"/>
  <c r="C815" i="1"/>
  <c r="E814" i="1"/>
  <c r="C816" i="1" l="1"/>
  <c r="D815" i="1"/>
  <c r="D816" i="1" s="1"/>
  <c r="E815" i="1" l="1"/>
  <c r="C817" i="1"/>
  <c r="E816" i="1"/>
  <c r="C818" i="1" l="1"/>
  <c r="D817" i="1"/>
  <c r="D818" i="1" s="1"/>
  <c r="E817" i="1" l="1"/>
  <c r="C819" i="1"/>
  <c r="E818" i="1"/>
  <c r="C820" i="1" l="1"/>
  <c r="D819" i="1"/>
  <c r="D820" i="1" s="1"/>
  <c r="E819" i="1" l="1"/>
  <c r="C821" i="1"/>
  <c r="E820" i="1"/>
  <c r="C822" i="1" l="1"/>
  <c r="D821" i="1"/>
  <c r="D822" i="1" s="1"/>
  <c r="E821" i="1" l="1"/>
  <c r="C823" i="1"/>
  <c r="D823" i="1" s="1"/>
  <c r="E822" i="1"/>
  <c r="C824" i="1" l="1"/>
  <c r="E823" i="1"/>
  <c r="D824" i="1"/>
  <c r="C825" i="1" l="1"/>
  <c r="E824" i="1"/>
  <c r="C826" i="1" l="1"/>
  <c r="D825" i="1"/>
  <c r="C827" i="1" l="1"/>
  <c r="D826" i="1"/>
  <c r="D827" i="1" s="1"/>
  <c r="E825" i="1"/>
  <c r="E826" i="1" l="1"/>
  <c r="C828" i="1"/>
  <c r="E827" i="1"/>
  <c r="C829" i="1" l="1"/>
  <c r="D828" i="1"/>
  <c r="D829" i="1" s="1"/>
  <c r="E828" i="1" l="1"/>
  <c r="C830" i="1"/>
  <c r="E829" i="1"/>
  <c r="C831" i="1" l="1"/>
  <c r="D830" i="1"/>
  <c r="D831" i="1" s="1"/>
  <c r="E830" i="1" l="1"/>
  <c r="C832" i="1"/>
  <c r="D832" i="1" s="1"/>
  <c r="E831" i="1"/>
  <c r="C833" i="1" l="1"/>
  <c r="D833" i="1" s="1"/>
  <c r="E832" i="1"/>
  <c r="C834" i="1" l="1"/>
  <c r="D834" i="1" s="1"/>
  <c r="E833" i="1"/>
  <c r="C835" i="1" l="1"/>
  <c r="E834" i="1"/>
  <c r="D835" i="1"/>
  <c r="C836" i="1" l="1"/>
  <c r="E835" i="1"/>
  <c r="C837" i="1" l="1"/>
  <c r="D836" i="1"/>
  <c r="C838" i="1" l="1"/>
  <c r="D837" i="1"/>
  <c r="D838" i="1" s="1"/>
  <c r="E836" i="1"/>
  <c r="E837" i="1" l="1"/>
  <c r="C839" i="1"/>
  <c r="D839" i="1" s="1"/>
  <c r="E838" i="1"/>
  <c r="C840" i="1" l="1"/>
  <c r="D840" i="1" s="1"/>
  <c r="E839" i="1"/>
  <c r="C841" i="1" l="1"/>
  <c r="E840" i="1"/>
  <c r="C842" i="1" l="1"/>
  <c r="D841" i="1"/>
  <c r="D842" i="1" s="1"/>
  <c r="E841" i="1" l="1"/>
  <c r="C843" i="1"/>
  <c r="D843" i="1" s="1"/>
  <c r="E842" i="1"/>
  <c r="C844" i="1" l="1"/>
  <c r="D844" i="1" s="1"/>
  <c r="E843" i="1"/>
  <c r="C845" i="1" l="1"/>
  <c r="E844" i="1"/>
  <c r="D845" i="1"/>
  <c r="C846" i="1" l="1"/>
  <c r="D846" i="1" s="1"/>
  <c r="E845" i="1"/>
  <c r="C847" i="1" l="1"/>
  <c r="D847" i="1" s="1"/>
  <c r="E846" i="1"/>
  <c r="D848" i="1" l="1"/>
  <c r="C848" i="1"/>
  <c r="E847" i="1"/>
  <c r="C849" i="1" l="1"/>
  <c r="D849" i="1" s="1"/>
  <c r="E848" i="1"/>
  <c r="C850" i="1" l="1"/>
  <c r="E849" i="1"/>
  <c r="D850" i="1"/>
  <c r="C851" i="1" l="1"/>
  <c r="E850" i="1"/>
  <c r="C852" i="1" l="1"/>
  <c r="D851" i="1"/>
  <c r="D852" i="1" l="1"/>
  <c r="E852" i="1" s="1"/>
  <c r="E851" i="1"/>
  <c r="C853" i="1"/>
  <c r="D853" i="1" s="1"/>
  <c r="C854" i="1" l="1"/>
  <c r="D854" i="1" s="1"/>
  <c r="E853" i="1"/>
  <c r="C855" i="1" l="1"/>
  <c r="D855" i="1" s="1"/>
  <c r="E854" i="1"/>
  <c r="C856" i="1" l="1"/>
  <c r="E855" i="1"/>
  <c r="C857" i="1" l="1"/>
  <c r="D856" i="1"/>
  <c r="D857" i="1" s="1"/>
  <c r="E856" i="1" l="1"/>
  <c r="C858" i="1"/>
  <c r="D858" i="1" s="1"/>
  <c r="E857" i="1"/>
  <c r="C859" i="1" l="1"/>
  <c r="D859" i="1" s="1"/>
  <c r="E858" i="1"/>
  <c r="C860" i="1" l="1"/>
  <c r="E859" i="1"/>
  <c r="D860" i="1"/>
  <c r="C861" i="1" l="1"/>
  <c r="E860" i="1"/>
  <c r="C862" i="1" l="1"/>
  <c r="D861" i="1"/>
  <c r="D862" i="1" s="1"/>
  <c r="C863" i="1" l="1"/>
  <c r="D863" i="1" s="1"/>
  <c r="E862" i="1"/>
  <c r="E861" i="1"/>
  <c r="C864" i="1" l="1"/>
  <c r="D864" i="1" s="1"/>
  <c r="E863" i="1"/>
  <c r="C865" i="1" l="1"/>
  <c r="D865" i="1" s="1"/>
  <c r="E864" i="1"/>
  <c r="C866" i="1" l="1"/>
  <c r="D866" i="1" s="1"/>
  <c r="E865" i="1"/>
  <c r="C867" i="1" l="1"/>
  <c r="D867" i="1" s="1"/>
  <c r="E866" i="1"/>
  <c r="C868" i="1" l="1"/>
  <c r="E867" i="1"/>
  <c r="C869" i="1" l="1"/>
  <c r="D868" i="1"/>
  <c r="D869" i="1" s="1"/>
  <c r="E868" i="1" l="1"/>
  <c r="C870" i="1"/>
  <c r="E869" i="1"/>
  <c r="C871" i="1" l="1"/>
  <c r="D870" i="1"/>
  <c r="D871" i="1" s="1"/>
  <c r="E870" i="1" l="1"/>
  <c r="C872" i="1"/>
  <c r="E871" i="1"/>
  <c r="C873" i="1" l="1"/>
  <c r="D872" i="1"/>
  <c r="D873" i="1" s="1"/>
  <c r="E872" i="1" l="1"/>
  <c r="C874" i="1"/>
  <c r="E873" i="1"/>
  <c r="C875" i="1" l="1"/>
  <c r="D874" i="1"/>
  <c r="D875" i="1" s="1"/>
  <c r="E874" i="1" l="1"/>
  <c r="C876" i="1"/>
  <c r="E875" i="1"/>
  <c r="C877" i="1" l="1"/>
  <c r="D876" i="1"/>
  <c r="D877" i="1" s="1"/>
  <c r="E876" i="1" l="1"/>
  <c r="C878" i="1"/>
  <c r="E877" i="1"/>
  <c r="C879" i="1" l="1"/>
  <c r="D878" i="1"/>
  <c r="D879" i="1" s="1"/>
  <c r="E878" i="1" l="1"/>
  <c r="C880" i="1"/>
  <c r="E879" i="1"/>
  <c r="C881" i="1" l="1"/>
  <c r="D880" i="1"/>
  <c r="D881" i="1" s="1"/>
  <c r="E880" i="1" l="1"/>
  <c r="C882" i="1"/>
  <c r="E881" i="1"/>
  <c r="C883" i="1" l="1"/>
  <c r="D882" i="1"/>
  <c r="D883" i="1" s="1"/>
  <c r="E882" i="1" l="1"/>
  <c r="C884" i="1"/>
  <c r="E883" i="1"/>
  <c r="C885" i="1" l="1"/>
  <c r="D884" i="1"/>
  <c r="D885" i="1" s="1"/>
  <c r="E884" i="1" l="1"/>
  <c r="C886" i="1"/>
  <c r="E885" i="1"/>
  <c r="C887" i="1" l="1"/>
  <c r="D886" i="1"/>
  <c r="D887" i="1" s="1"/>
  <c r="E886" i="1" l="1"/>
  <c r="C888" i="1"/>
  <c r="E887" i="1"/>
  <c r="C889" i="1" l="1"/>
  <c r="D888" i="1"/>
  <c r="D889" i="1" s="1"/>
  <c r="E888" i="1" l="1"/>
  <c r="C890" i="1"/>
  <c r="E889" i="1"/>
  <c r="C891" i="1" l="1"/>
  <c r="D890" i="1"/>
  <c r="D891" i="1" s="1"/>
  <c r="E890" i="1" l="1"/>
  <c r="C892" i="1"/>
  <c r="E891" i="1"/>
  <c r="C893" i="1" l="1"/>
  <c r="D892" i="1"/>
  <c r="D893" i="1" s="1"/>
  <c r="E892" i="1" l="1"/>
  <c r="C894" i="1"/>
  <c r="E893" i="1"/>
  <c r="C895" i="1" l="1"/>
  <c r="D894" i="1"/>
  <c r="D895" i="1" s="1"/>
  <c r="E894" i="1" l="1"/>
  <c r="C896" i="1"/>
  <c r="E895" i="1"/>
  <c r="C897" i="1" l="1"/>
  <c r="D896" i="1"/>
  <c r="D897" i="1" s="1"/>
  <c r="E896" i="1" l="1"/>
  <c r="C898" i="1"/>
  <c r="E897" i="1"/>
  <c r="C899" i="1" l="1"/>
  <c r="D898" i="1"/>
  <c r="D899" i="1" l="1"/>
  <c r="E898" i="1"/>
  <c r="C900" i="1"/>
  <c r="E899" i="1"/>
  <c r="C901" i="1" l="1"/>
  <c r="D900" i="1"/>
  <c r="D901" i="1" s="1"/>
  <c r="E900" i="1" l="1"/>
  <c r="C902" i="1"/>
  <c r="E901" i="1"/>
  <c r="C903" i="1" l="1"/>
  <c r="D902" i="1"/>
  <c r="D903" i="1" s="1"/>
  <c r="E902" i="1" l="1"/>
  <c r="C904" i="1"/>
  <c r="E903" i="1"/>
  <c r="C905" i="1" l="1"/>
  <c r="D904" i="1"/>
  <c r="D905" i="1" s="1"/>
  <c r="E904" i="1" l="1"/>
  <c r="C906" i="1"/>
  <c r="E905" i="1"/>
  <c r="C907" i="1" l="1"/>
  <c r="D906" i="1"/>
  <c r="D907" i="1" s="1"/>
  <c r="E906" i="1" l="1"/>
  <c r="C908" i="1"/>
  <c r="E907" i="1"/>
  <c r="C909" i="1" l="1"/>
  <c r="D908" i="1"/>
  <c r="D909" i="1" s="1"/>
  <c r="E908" i="1" l="1"/>
  <c r="C910" i="1"/>
  <c r="E909" i="1"/>
  <c r="C911" i="1" l="1"/>
  <c r="D910" i="1"/>
  <c r="D911" i="1" s="1"/>
  <c r="E910" i="1" l="1"/>
  <c r="C912" i="1"/>
  <c r="E911" i="1"/>
  <c r="C913" i="1" l="1"/>
  <c r="D912" i="1"/>
  <c r="D913" i="1" s="1"/>
  <c r="E912" i="1" l="1"/>
  <c r="C914" i="1"/>
  <c r="E913" i="1"/>
  <c r="C915" i="1" l="1"/>
  <c r="D914" i="1"/>
  <c r="D915" i="1" s="1"/>
  <c r="E914" i="1" l="1"/>
  <c r="C916" i="1"/>
  <c r="E915" i="1"/>
  <c r="C917" i="1" l="1"/>
  <c r="D916" i="1"/>
  <c r="D917" i="1" s="1"/>
  <c r="E916" i="1" l="1"/>
  <c r="C918" i="1"/>
  <c r="E917" i="1"/>
  <c r="C919" i="1" l="1"/>
  <c r="D918" i="1"/>
  <c r="D919" i="1" s="1"/>
  <c r="E918" i="1" l="1"/>
  <c r="C920" i="1"/>
  <c r="E919" i="1"/>
  <c r="C921" i="1" l="1"/>
  <c r="D920" i="1"/>
  <c r="D921" i="1" s="1"/>
  <c r="E920" i="1" l="1"/>
  <c r="C922" i="1"/>
  <c r="E921" i="1"/>
  <c r="C923" i="1" l="1"/>
  <c r="D922" i="1"/>
  <c r="D923" i="1" s="1"/>
  <c r="E922" i="1" l="1"/>
  <c r="C924" i="1"/>
  <c r="E923" i="1"/>
  <c r="C925" i="1" l="1"/>
  <c r="D924" i="1"/>
  <c r="D925" i="1" s="1"/>
  <c r="E924" i="1" l="1"/>
  <c r="C926" i="1"/>
  <c r="E925" i="1"/>
  <c r="C927" i="1" l="1"/>
  <c r="D926" i="1"/>
  <c r="D927" i="1" l="1"/>
  <c r="E926" i="1"/>
  <c r="C928" i="1"/>
  <c r="E927" i="1"/>
  <c r="C929" i="1" l="1"/>
  <c r="D928" i="1"/>
  <c r="D929" i="1" s="1"/>
  <c r="E928" i="1" l="1"/>
  <c r="C930" i="1"/>
  <c r="E929" i="1"/>
  <c r="C931" i="1" l="1"/>
  <c r="D930" i="1"/>
  <c r="D931" i="1" s="1"/>
  <c r="E930" i="1" l="1"/>
  <c r="C932" i="1"/>
  <c r="E931" i="1"/>
  <c r="C933" i="1" l="1"/>
  <c r="D932" i="1"/>
  <c r="D933" i="1" s="1"/>
  <c r="E932" i="1" l="1"/>
  <c r="C934" i="1"/>
  <c r="E933" i="1"/>
  <c r="C935" i="1" l="1"/>
  <c r="D934" i="1"/>
  <c r="D935" i="1" s="1"/>
  <c r="E934" i="1" l="1"/>
  <c r="C936" i="1"/>
  <c r="E935" i="1"/>
  <c r="C937" i="1" l="1"/>
  <c r="D936" i="1"/>
  <c r="D937" i="1" s="1"/>
  <c r="E936" i="1" l="1"/>
  <c r="C938" i="1"/>
  <c r="E937" i="1"/>
  <c r="C939" i="1" l="1"/>
  <c r="D938" i="1"/>
  <c r="D939" i="1" s="1"/>
  <c r="E938" i="1" l="1"/>
  <c r="C940" i="1"/>
  <c r="E939" i="1"/>
  <c r="C941" i="1" l="1"/>
  <c r="D940" i="1"/>
  <c r="D941" i="1" s="1"/>
  <c r="E940" i="1" l="1"/>
  <c r="C942" i="1"/>
  <c r="E941" i="1"/>
  <c r="C943" i="1" l="1"/>
  <c r="D942" i="1"/>
  <c r="D943" i="1" s="1"/>
  <c r="E942" i="1" l="1"/>
  <c r="C944" i="1"/>
  <c r="E943" i="1"/>
  <c r="C945" i="1" l="1"/>
  <c r="D944" i="1"/>
  <c r="D945" i="1" s="1"/>
  <c r="E944" i="1" l="1"/>
  <c r="C946" i="1"/>
  <c r="E945" i="1"/>
  <c r="C947" i="1" l="1"/>
  <c r="D946" i="1"/>
  <c r="D947" i="1" s="1"/>
  <c r="E946" i="1" l="1"/>
  <c r="C948" i="1"/>
  <c r="E947" i="1"/>
  <c r="C949" i="1" l="1"/>
  <c r="D948" i="1"/>
  <c r="D949" i="1" s="1"/>
  <c r="E948" i="1" l="1"/>
  <c r="C950" i="1"/>
  <c r="E949" i="1"/>
  <c r="C951" i="1" l="1"/>
  <c r="D950" i="1"/>
  <c r="D951" i="1" s="1"/>
  <c r="E950" i="1" l="1"/>
  <c r="C952" i="1"/>
  <c r="E951" i="1"/>
  <c r="C953" i="1" l="1"/>
  <c r="D952" i="1"/>
  <c r="D953" i="1" s="1"/>
  <c r="E952" i="1" l="1"/>
  <c r="C954" i="1"/>
  <c r="E953" i="1"/>
  <c r="C955" i="1" l="1"/>
  <c r="D954" i="1"/>
  <c r="D955" i="1" l="1"/>
  <c r="E954" i="1"/>
  <c r="C956" i="1"/>
  <c r="E955" i="1"/>
  <c r="C957" i="1" l="1"/>
  <c r="D956" i="1"/>
  <c r="D957" i="1" s="1"/>
  <c r="E956" i="1" l="1"/>
  <c r="C958" i="1"/>
  <c r="E957" i="1"/>
  <c r="C959" i="1" l="1"/>
  <c r="D958" i="1"/>
  <c r="D959" i="1" s="1"/>
  <c r="E958" i="1" l="1"/>
  <c r="C960" i="1"/>
  <c r="E959" i="1"/>
  <c r="C961" i="1" l="1"/>
  <c r="D960" i="1"/>
  <c r="D961" i="1" s="1"/>
  <c r="E960" i="1" l="1"/>
  <c r="C962" i="1"/>
  <c r="E961" i="1"/>
  <c r="C963" i="1" l="1"/>
  <c r="D962" i="1"/>
  <c r="D963" i="1" s="1"/>
  <c r="E962" i="1" l="1"/>
  <c r="C964" i="1"/>
  <c r="E963" i="1"/>
  <c r="C965" i="1" l="1"/>
  <c r="D964" i="1"/>
  <c r="D965" i="1" s="1"/>
  <c r="E964" i="1" l="1"/>
  <c r="C966" i="1"/>
  <c r="E965" i="1"/>
  <c r="C967" i="1" l="1"/>
  <c r="D966" i="1"/>
  <c r="D967" i="1" s="1"/>
  <c r="E966" i="1" l="1"/>
  <c r="C968" i="1"/>
  <c r="E967" i="1"/>
  <c r="C969" i="1" l="1"/>
  <c r="D968" i="1"/>
  <c r="D969" i="1" s="1"/>
  <c r="E968" i="1" l="1"/>
  <c r="C970" i="1"/>
  <c r="E969" i="1"/>
  <c r="C971" i="1" l="1"/>
  <c r="D970" i="1"/>
  <c r="D971" i="1" s="1"/>
  <c r="E970" i="1" l="1"/>
  <c r="C972" i="1"/>
  <c r="E971" i="1"/>
  <c r="C973" i="1" l="1"/>
  <c r="D972" i="1"/>
  <c r="D973" i="1" s="1"/>
  <c r="E972" i="1" l="1"/>
  <c r="C974" i="1"/>
  <c r="E973" i="1"/>
  <c r="C975" i="1" l="1"/>
  <c r="D974" i="1"/>
  <c r="D975" i="1" s="1"/>
  <c r="E974" i="1" l="1"/>
  <c r="C976" i="1"/>
  <c r="E975" i="1"/>
  <c r="C977" i="1" l="1"/>
  <c r="D976" i="1"/>
  <c r="D977" i="1" s="1"/>
  <c r="E976" i="1" l="1"/>
  <c r="C978" i="1"/>
  <c r="E977" i="1"/>
  <c r="C979" i="1" l="1"/>
  <c r="D978" i="1"/>
  <c r="D979" i="1" s="1"/>
  <c r="E978" i="1" l="1"/>
  <c r="C980" i="1"/>
  <c r="E979" i="1"/>
  <c r="C981" i="1" l="1"/>
  <c r="D980" i="1"/>
  <c r="D981" i="1" s="1"/>
  <c r="E980" i="1" l="1"/>
  <c r="C982" i="1"/>
  <c r="E981" i="1"/>
  <c r="C983" i="1" l="1"/>
  <c r="D982" i="1"/>
  <c r="D983" i="1" s="1"/>
  <c r="E982" i="1" l="1"/>
  <c r="C984" i="1"/>
  <c r="E983" i="1"/>
  <c r="C985" i="1" l="1"/>
  <c r="D984" i="1"/>
  <c r="D985" i="1" s="1"/>
  <c r="E984" i="1" l="1"/>
  <c r="C986" i="1"/>
  <c r="E985" i="1"/>
  <c r="C987" i="1" l="1"/>
  <c r="D986" i="1"/>
  <c r="D987" i="1" s="1"/>
  <c r="E986" i="1" l="1"/>
  <c r="C988" i="1"/>
  <c r="E987" i="1"/>
  <c r="C989" i="1" l="1"/>
  <c r="D988" i="1"/>
  <c r="D989" i="1" s="1"/>
  <c r="E988" i="1" l="1"/>
  <c r="C990" i="1"/>
  <c r="E989" i="1"/>
  <c r="C991" i="1" l="1"/>
  <c r="D990" i="1"/>
  <c r="D991" i="1" s="1"/>
  <c r="E990" i="1" l="1"/>
  <c r="C992" i="1"/>
  <c r="E991" i="1"/>
  <c r="C993" i="1" l="1"/>
  <c r="D992" i="1"/>
  <c r="D993" i="1" s="1"/>
  <c r="E992" i="1" l="1"/>
  <c r="C994" i="1"/>
  <c r="D994" i="1" s="1"/>
  <c r="E993" i="1"/>
  <c r="C995" i="1" l="1"/>
  <c r="E994" i="1"/>
  <c r="C996" i="1" l="1"/>
  <c r="D995" i="1"/>
  <c r="D996" i="1" s="1"/>
  <c r="E995" i="1" l="1"/>
  <c r="C997" i="1"/>
  <c r="E996" i="1"/>
  <c r="C998" i="1" l="1"/>
  <c r="D997" i="1"/>
  <c r="D998" i="1" s="1"/>
  <c r="E997" i="1" l="1"/>
  <c r="C999" i="1"/>
  <c r="D999" i="1" s="1"/>
  <c r="E998" i="1"/>
  <c r="C1000" i="1" l="1"/>
  <c r="D1000" i="1" s="1"/>
  <c r="E999" i="1"/>
  <c r="C1001" i="1" l="1"/>
  <c r="D1001" i="1" s="1"/>
  <c r="E1000" i="1"/>
  <c r="C1002" i="1" l="1"/>
  <c r="E1001" i="1"/>
  <c r="C1003" i="1" l="1"/>
  <c r="D1002" i="1"/>
  <c r="D1003" i="1" s="1"/>
  <c r="E1002" i="1" l="1"/>
  <c r="C1004" i="1"/>
  <c r="E1003" i="1"/>
  <c r="C1005" i="1" l="1"/>
  <c r="D1004" i="1"/>
  <c r="D1005" i="1" s="1"/>
  <c r="E1004" i="1" l="1"/>
  <c r="C1006" i="1"/>
  <c r="E1005" i="1"/>
  <c r="C1007" i="1" l="1"/>
  <c r="D1006" i="1"/>
  <c r="D1007" i="1" s="1"/>
  <c r="E1006" i="1" l="1"/>
  <c r="C1008" i="1"/>
  <c r="E1007" i="1"/>
  <c r="C1009" i="1" l="1"/>
  <c r="D1008" i="1"/>
  <c r="E1008" i="1" s="1"/>
  <c r="C1010" i="1" l="1"/>
  <c r="D1009" i="1"/>
  <c r="D1010" i="1" s="1"/>
  <c r="E1009" i="1" l="1"/>
  <c r="C1011" i="1"/>
  <c r="D1011" i="1" s="1"/>
  <c r="E1010" i="1"/>
  <c r="C1012" i="1" l="1"/>
  <c r="D1012" i="1" s="1"/>
  <c r="E1011" i="1"/>
  <c r="C1013" i="1" l="1"/>
  <c r="E1012" i="1"/>
  <c r="D1013" i="1"/>
  <c r="C1014" i="1" l="1"/>
  <c r="E1013" i="1"/>
  <c r="C1015" i="1" l="1"/>
  <c r="D1014" i="1"/>
  <c r="D1015" i="1" s="1"/>
  <c r="E1014" i="1" l="1"/>
  <c r="C1016" i="1"/>
  <c r="D1016" i="1" s="1"/>
  <c r="E1015" i="1"/>
  <c r="C1017" i="1" l="1"/>
  <c r="D1017" i="1" s="1"/>
  <c r="E1016" i="1"/>
  <c r="C1018" i="1" l="1"/>
  <c r="E1017" i="1"/>
  <c r="C1019" i="1" l="1"/>
  <c r="D1018" i="1"/>
  <c r="D1019" i="1" s="1"/>
  <c r="E1018" i="1" l="1"/>
  <c r="C1020" i="1"/>
  <c r="D1020" i="1" s="1"/>
  <c r="E1019" i="1"/>
  <c r="C1021" i="1" l="1"/>
  <c r="D1021" i="1" s="1"/>
  <c r="E1020" i="1"/>
  <c r="C1022" i="1" l="1"/>
  <c r="E1021" i="1"/>
  <c r="D1022" i="1"/>
  <c r="C1023" i="1" l="1"/>
  <c r="D1023" i="1" s="1"/>
  <c r="E1022" i="1"/>
  <c r="C1024" i="1" l="1"/>
  <c r="E1023" i="1"/>
  <c r="D1024" i="1"/>
  <c r="C1025" i="1" l="1"/>
  <c r="E1024" i="1"/>
  <c r="C1026" i="1" l="1"/>
  <c r="D1025" i="1"/>
  <c r="E1025" i="1" s="1"/>
  <c r="C1027" i="1" l="1"/>
  <c r="D1026" i="1"/>
  <c r="D1027" i="1" s="1"/>
  <c r="E1026" i="1" l="1"/>
  <c r="C1028" i="1"/>
  <c r="E1027" i="1"/>
  <c r="C1029" i="1" l="1"/>
  <c r="D1028" i="1"/>
  <c r="D1029" i="1" s="1"/>
  <c r="E1028" i="1" l="1"/>
  <c r="C1030" i="1"/>
  <c r="E1029" i="1"/>
  <c r="C1031" i="1" l="1"/>
  <c r="D1030" i="1"/>
  <c r="E1030" i="1" s="1"/>
  <c r="C1032" i="1" l="1"/>
  <c r="D1031" i="1"/>
  <c r="D1032" i="1" s="1"/>
  <c r="E1031" i="1" l="1"/>
  <c r="C1033" i="1"/>
  <c r="E1032" i="1"/>
  <c r="C1034" i="1" l="1"/>
  <c r="D1033" i="1"/>
  <c r="E1033" i="1" s="1"/>
  <c r="C1035" i="1" l="1"/>
  <c r="D1034" i="1"/>
  <c r="D1035" i="1" s="1"/>
  <c r="E1034" i="1" l="1"/>
  <c r="C1036" i="1"/>
  <c r="D1036" i="1" s="1"/>
  <c r="E1035" i="1"/>
  <c r="C1037" i="1" l="1"/>
  <c r="D1037" i="1" s="1"/>
  <c r="E1036" i="1"/>
  <c r="C1038" i="1" l="1"/>
  <c r="E1037" i="1"/>
  <c r="D1038" i="1"/>
  <c r="C1039" i="1" l="1"/>
  <c r="D1039" i="1" s="1"/>
  <c r="E1038" i="1"/>
  <c r="C1040" i="1" l="1"/>
  <c r="E1039" i="1"/>
  <c r="D1040" i="1"/>
  <c r="C1041" i="1" l="1"/>
  <c r="D1041" i="1" s="1"/>
  <c r="E1040" i="1"/>
  <c r="C1042" i="1" l="1"/>
  <c r="E1041" i="1"/>
  <c r="C1043" i="1" l="1"/>
  <c r="D1042" i="1"/>
  <c r="D1043" i="1" s="1"/>
  <c r="E1042" i="1" l="1"/>
  <c r="C1044" i="1"/>
  <c r="E1043" i="1"/>
  <c r="C1045" i="1" l="1"/>
  <c r="D1044" i="1"/>
  <c r="D1045" i="1" s="1"/>
  <c r="E1044" i="1" l="1"/>
  <c r="C1046" i="1"/>
  <c r="E1045" i="1"/>
  <c r="C1047" i="1" l="1"/>
  <c r="D1046" i="1"/>
  <c r="D1047" i="1" s="1"/>
  <c r="E1046" i="1" l="1"/>
  <c r="C1048" i="1"/>
  <c r="D1048" i="1" s="1"/>
  <c r="E1047" i="1"/>
  <c r="C1049" i="1" l="1"/>
  <c r="D1049" i="1" s="1"/>
  <c r="E1048" i="1"/>
  <c r="C1050" i="1" l="1"/>
  <c r="E1049" i="1"/>
  <c r="D1050" i="1"/>
  <c r="C1051" i="1" l="1"/>
  <c r="E1050" i="1"/>
  <c r="C1052" i="1" l="1"/>
  <c r="D1051" i="1"/>
  <c r="D1052" i="1" s="1"/>
  <c r="E1051" i="1" l="1"/>
  <c r="C1053" i="1"/>
  <c r="E1052" i="1"/>
  <c r="D1053" i="1"/>
  <c r="C1054" i="1" l="1"/>
  <c r="E1053" i="1"/>
  <c r="C1055" i="1" l="1"/>
  <c r="D1054" i="1"/>
  <c r="D1055" i="1" s="1"/>
  <c r="E1054" i="1" l="1"/>
  <c r="C1056" i="1"/>
  <c r="D1056" i="1" s="1"/>
  <c r="E1055" i="1"/>
  <c r="C1057" i="1" l="1"/>
  <c r="D1057" i="1" s="1"/>
  <c r="E1056" i="1"/>
  <c r="C1058" i="1" l="1"/>
  <c r="E1057" i="1"/>
  <c r="D1058" i="1"/>
  <c r="C1059" i="1" l="1"/>
  <c r="E1058" i="1"/>
  <c r="C1060" i="1" l="1"/>
  <c r="D1059" i="1"/>
  <c r="D1060" i="1" s="1"/>
  <c r="E1059" i="1" l="1"/>
  <c r="C1061" i="1"/>
  <c r="E1060" i="1"/>
  <c r="C1062" i="1" l="1"/>
  <c r="D1061" i="1"/>
  <c r="D1062" i="1" s="1"/>
  <c r="E1061" i="1" l="1"/>
  <c r="C1063" i="1"/>
  <c r="E1062" i="1"/>
  <c r="C1064" i="1" l="1"/>
  <c r="D1063" i="1"/>
  <c r="D1064" i="1" s="1"/>
  <c r="E1063" i="1" l="1"/>
  <c r="C1065" i="1"/>
  <c r="E1064" i="1"/>
  <c r="C1066" i="1" l="1"/>
  <c r="D1065" i="1"/>
  <c r="D1066" i="1" s="1"/>
  <c r="E1065" i="1" l="1"/>
  <c r="C1067" i="1"/>
  <c r="E1066" i="1"/>
  <c r="C1068" i="1" l="1"/>
  <c r="D1067" i="1"/>
  <c r="D1068" i="1" s="1"/>
  <c r="E1067" i="1" l="1"/>
  <c r="C1069" i="1"/>
  <c r="E1068" i="1"/>
  <c r="C1070" i="1" l="1"/>
  <c r="D1069" i="1"/>
  <c r="D1070" i="1" s="1"/>
  <c r="E1069" i="1" l="1"/>
  <c r="C1071" i="1"/>
  <c r="E1070" i="1"/>
  <c r="C1072" i="1" l="1"/>
  <c r="D1071" i="1"/>
  <c r="D1072" i="1" s="1"/>
  <c r="E1071" i="1" l="1"/>
  <c r="C1073" i="1"/>
  <c r="E1072" i="1"/>
  <c r="C1074" i="1" l="1"/>
  <c r="D1073" i="1"/>
  <c r="D1074" i="1" s="1"/>
  <c r="E1073" i="1" l="1"/>
  <c r="C1075" i="1"/>
  <c r="E1074" i="1"/>
  <c r="C1076" i="1" l="1"/>
  <c r="D1075" i="1"/>
  <c r="D1076" i="1" s="1"/>
  <c r="E1075" i="1" l="1"/>
  <c r="C1077" i="1"/>
  <c r="E1076" i="1"/>
  <c r="C1078" i="1" l="1"/>
  <c r="D1077" i="1"/>
  <c r="D1078" i="1" s="1"/>
  <c r="E1077" i="1" l="1"/>
  <c r="C1079" i="1"/>
  <c r="E1078" i="1"/>
  <c r="C1080" i="1" l="1"/>
  <c r="D1079" i="1"/>
  <c r="D1080" i="1" s="1"/>
  <c r="E1079" i="1" l="1"/>
  <c r="C1081" i="1"/>
  <c r="E1080" i="1"/>
  <c r="C1082" i="1" l="1"/>
  <c r="D1081" i="1"/>
  <c r="D1082" i="1" s="1"/>
  <c r="E1081" i="1" l="1"/>
  <c r="C1083" i="1"/>
  <c r="E1082" i="1"/>
  <c r="C1084" i="1" l="1"/>
  <c r="D1083" i="1"/>
  <c r="D1084" i="1" s="1"/>
  <c r="E1083" i="1" l="1"/>
  <c r="C1085" i="1"/>
  <c r="E1084" i="1"/>
  <c r="C1086" i="1" l="1"/>
  <c r="D1085" i="1"/>
  <c r="D1086" i="1" s="1"/>
  <c r="E1085" i="1" l="1"/>
  <c r="C1087" i="1"/>
  <c r="E1086" i="1"/>
  <c r="C1088" i="1" l="1"/>
  <c r="D1087" i="1"/>
  <c r="D1088" i="1" s="1"/>
  <c r="E1087" i="1" l="1"/>
  <c r="C1089" i="1"/>
  <c r="D1089" i="1" s="1"/>
  <c r="E1088" i="1"/>
  <c r="C1090" i="1" l="1"/>
  <c r="E1089" i="1"/>
  <c r="C1091" i="1" l="1"/>
  <c r="D1090" i="1"/>
  <c r="D1091" i="1" s="1"/>
  <c r="E1090" i="1" l="1"/>
  <c r="C1092" i="1"/>
  <c r="E1091" i="1"/>
  <c r="C1093" i="1" l="1"/>
  <c r="D1092" i="1"/>
  <c r="D1093" i="1" s="1"/>
  <c r="E1092" i="1" l="1"/>
  <c r="C1094" i="1"/>
  <c r="E1093" i="1"/>
  <c r="C1095" i="1" l="1"/>
  <c r="D1094" i="1"/>
  <c r="D1095" i="1" s="1"/>
  <c r="E1094" i="1" l="1"/>
  <c r="C1096" i="1"/>
  <c r="D1096" i="1" s="1"/>
  <c r="E1095" i="1"/>
  <c r="C1097" i="1" l="1"/>
  <c r="E1096" i="1"/>
  <c r="C1098" i="1" l="1"/>
  <c r="D1097" i="1"/>
  <c r="D1098" i="1" s="1"/>
  <c r="E1097" i="1" l="1"/>
  <c r="C1099" i="1"/>
  <c r="E1098" i="1"/>
  <c r="C1100" i="1" l="1"/>
  <c r="D1099" i="1"/>
  <c r="D1100" i="1" s="1"/>
  <c r="E1099" i="1" l="1"/>
  <c r="C1101" i="1"/>
  <c r="E1100" i="1"/>
  <c r="C1102" i="1" l="1"/>
  <c r="D1101" i="1"/>
  <c r="D1102" i="1" s="1"/>
  <c r="E1101" i="1" l="1"/>
  <c r="C1103" i="1"/>
  <c r="E1102" i="1"/>
  <c r="C1104" i="1" l="1"/>
  <c r="D1103" i="1"/>
  <c r="D1104" i="1" s="1"/>
  <c r="E1103" i="1" l="1"/>
  <c r="C1105" i="1"/>
  <c r="E1104" i="1"/>
  <c r="C1106" i="1" l="1"/>
  <c r="D1105" i="1"/>
  <c r="D1106" i="1" s="1"/>
  <c r="E1105" i="1" l="1"/>
  <c r="C1107" i="1"/>
  <c r="D1107" i="1" s="1"/>
  <c r="E1106" i="1"/>
  <c r="C1108" i="1" l="1"/>
  <c r="E1107" i="1"/>
  <c r="C1109" i="1" l="1"/>
  <c r="D1108" i="1"/>
  <c r="D1109" i="1" s="1"/>
  <c r="E1108" i="1" l="1"/>
  <c r="C1110" i="1"/>
  <c r="E1109" i="1"/>
  <c r="C1111" i="1" l="1"/>
  <c r="D1110" i="1"/>
  <c r="D1111" i="1" s="1"/>
  <c r="E1110" i="1" l="1"/>
  <c r="C1112" i="1"/>
  <c r="E1111" i="1"/>
  <c r="C1113" i="1" l="1"/>
  <c r="D1112" i="1"/>
  <c r="D1113" i="1" s="1"/>
  <c r="E1112" i="1" l="1"/>
  <c r="C1114" i="1"/>
  <c r="E1113" i="1"/>
  <c r="C1115" i="1" l="1"/>
  <c r="D1114" i="1"/>
  <c r="D1115" i="1" s="1"/>
  <c r="E1114" i="1" l="1"/>
  <c r="C1116" i="1"/>
  <c r="E1115" i="1"/>
  <c r="C1117" i="1" l="1"/>
  <c r="D1116" i="1"/>
  <c r="D1117" i="1" s="1"/>
  <c r="E1116" i="1" l="1"/>
  <c r="C1118" i="1"/>
  <c r="E1117" i="1"/>
  <c r="C1119" i="1" l="1"/>
  <c r="D1118" i="1"/>
  <c r="D1119" i="1" s="1"/>
  <c r="E1118" i="1" l="1"/>
  <c r="C1120" i="1"/>
  <c r="E1119" i="1"/>
  <c r="C1121" i="1" l="1"/>
  <c r="D1120" i="1"/>
  <c r="D1121" i="1" s="1"/>
  <c r="E1120" i="1" l="1"/>
  <c r="C1122" i="1"/>
  <c r="E1121" i="1"/>
  <c r="C1123" i="1" l="1"/>
  <c r="D1122" i="1"/>
  <c r="D1123" i="1" s="1"/>
  <c r="E1122" i="1" l="1"/>
  <c r="C1124" i="1"/>
  <c r="E1123" i="1"/>
  <c r="C1125" i="1" l="1"/>
  <c r="D1124" i="1"/>
  <c r="C1126" i="1" l="1"/>
  <c r="D1125" i="1"/>
  <c r="D1126" i="1" s="1"/>
  <c r="E1124" i="1"/>
  <c r="E1125" i="1" l="1"/>
  <c r="C1127" i="1"/>
  <c r="E1126" i="1"/>
  <c r="C1128" i="1" l="1"/>
  <c r="D1127" i="1"/>
  <c r="D1128" i="1" s="1"/>
  <c r="E1127" i="1" l="1"/>
  <c r="C1129" i="1"/>
  <c r="E1128" i="1"/>
  <c r="C1130" i="1" l="1"/>
  <c r="D1129" i="1"/>
  <c r="D1130" i="1" s="1"/>
  <c r="E1129" i="1" l="1"/>
  <c r="C1131" i="1"/>
  <c r="E1130" i="1"/>
  <c r="C1132" i="1" l="1"/>
  <c r="D1131" i="1"/>
  <c r="D1132" i="1" s="1"/>
  <c r="E1131" i="1" l="1"/>
  <c r="C1133" i="1"/>
  <c r="E1132" i="1"/>
  <c r="C1134" i="1" l="1"/>
  <c r="D1133" i="1"/>
  <c r="D1134" i="1" s="1"/>
  <c r="E1133" i="1" l="1"/>
  <c r="C1135" i="1"/>
  <c r="E1134" i="1"/>
  <c r="C1136" i="1" l="1"/>
  <c r="D1135" i="1"/>
  <c r="D1136" i="1" s="1"/>
  <c r="E1135" i="1" l="1"/>
  <c r="C1137" i="1"/>
  <c r="E1136" i="1"/>
  <c r="C1138" i="1" l="1"/>
  <c r="D1137" i="1"/>
  <c r="D1138" i="1" s="1"/>
  <c r="E1137" i="1" l="1"/>
  <c r="C1139" i="1"/>
  <c r="E1138" i="1"/>
  <c r="C1140" i="1" l="1"/>
  <c r="D1139" i="1"/>
  <c r="D1140" i="1" s="1"/>
  <c r="E1139" i="1" l="1"/>
  <c r="C1141" i="1"/>
  <c r="E1140" i="1"/>
  <c r="C1142" i="1" l="1"/>
  <c r="D1141" i="1"/>
  <c r="D1142" i="1" s="1"/>
  <c r="E1141" i="1" l="1"/>
  <c r="C1143" i="1"/>
  <c r="E1142" i="1"/>
  <c r="C1144" i="1" l="1"/>
  <c r="D1143" i="1"/>
  <c r="D1144" i="1" s="1"/>
  <c r="E1143" i="1" l="1"/>
  <c r="C1145" i="1"/>
  <c r="E1144" i="1"/>
  <c r="C1146" i="1" l="1"/>
  <c r="D1145" i="1"/>
  <c r="D1146" i="1" s="1"/>
  <c r="E1145" i="1" l="1"/>
  <c r="C1147" i="1"/>
  <c r="E1146" i="1"/>
  <c r="C1148" i="1" l="1"/>
  <c r="D1147" i="1"/>
  <c r="D1148" i="1" s="1"/>
  <c r="E1147" i="1" l="1"/>
  <c r="C1149" i="1"/>
  <c r="E1148" i="1"/>
  <c r="C1150" i="1" l="1"/>
  <c r="D1149" i="1"/>
  <c r="D1150" i="1" s="1"/>
  <c r="E1149" i="1" l="1"/>
  <c r="C1151" i="1"/>
  <c r="E1150" i="1"/>
  <c r="C1152" i="1" l="1"/>
  <c r="D1151" i="1"/>
  <c r="D1152" i="1" l="1"/>
  <c r="E1151" i="1"/>
  <c r="C1153" i="1"/>
  <c r="E1152" i="1"/>
  <c r="C1154" i="1" l="1"/>
  <c r="D1153" i="1"/>
  <c r="D1154" i="1" s="1"/>
  <c r="E1153" i="1" l="1"/>
  <c r="C1155" i="1"/>
  <c r="E1154" i="1"/>
  <c r="C1156" i="1" l="1"/>
  <c r="D1155" i="1"/>
  <c r="D1156" i="1" l="1"/>
  <c r="E1155" i="1"/>
  <c r="C1157" i="1"/>
  <c r="E1156" i="1"/>
  <c r="C1158" i="1" l="1"/>
  <c r="D1157" i="1"/>
  <c r="D1158" i="1" s="1"/>
  <c r="E1157" i="1" l="1"/>
  <c r="C1159" i="1"/>
  <c r="E1158" i="1"/>
  <c r="C1160" i="1" l="1"/>
  <c r="D1159" i="1"/>
  <c r="D1160" i="1" s="1"/>
  <c r="E1159" i="1" l="1"/>
  <c r="C1161" i="1"/>
  <c r="E1160" i="1"/>
  <c r="C1162" i="1" l="1"/>
  <c r="D1161" i="1"/>
  <c r="D1162" i="1" s="1"/>
  <c r="E1161" i="1" l="1"/>
  <c r="C1163" i="1"/>
  <c r="E1162" i="1"/>
  <c r="C1164" i="1" l="1"/>
  <c r="D1163" i="1"/>
  <c r="D1164" i="1" s="1"/>
  <c r="E1163" i="1" l="1"/>
  <c r="C1165" i="1"/>
  <c r="E1164" i="1"/>
  <c r="C1166" i="1" l="1"/>
  <c r="D1165" i="1"/>
  <c r="D1166" i="1" s="1"/>
  <c r="E1165" i="1" l="1"/>
  <c r="C1167" i="1"/>
  <c r="E1166" i="1"/>
  <c r="C1168" i="1" l="1"/>
  <c r="D1167" i="1"/>
  <c r="D1168" i="1" s="1"/>
  <c r="E1167" i="1" l="1"/>
  <c r="C1169" i="1"/>
  <c r="E1168" i="1"/>
  <c r="C1170" i="1" l="1"/>
  <c r="D1169" i="1"/>
  <c r="D1170" i="1" s="1"/>
  <c r="E1169" i="1" l="1"/>
  <c r="C1171" i="1"/>
  <c r="E1170" i="1"/>
  <c r="C1172" i="1" l="1"/>
  <c r="D1171" i="1"/>
  <c r="D1172" i="1" s="1"/>
  <c r="E1171" i="1" l="1"/>
  <c r="C1173" i="1"/>
  <c r="E1172" i="1"/>
  <c r="C1174" i="1" l="1"/>
  <c r="D1173" i="1"/>
  <c r="D1174" i="1" s="1"/>
  <c r="E1173" i="1" l="1"/>
  <c r="C1175" i="1"/>
  <c r="E1174" i="1"/>
  <c r="C1176" i="1" l="1"/>
  <c r="D1175" i="1"/>
  <c r="D1176" i="1" s="1"/>
  <c r="E1175" i="1" l="1"/>
  <c r="C1177" i="1"/>
  <c r="E1176" i="1"/>
  <c r="C1178" i="1" l="1"/>
  <c r="D1177" i="1"/>
  <c r="D1178" i="1" s="1"/>
  <c r="E1177" i="1" l="1"/>
  <c r="C1179" i="1"/>
  <c r="E1178" i="1"/>
  <c r="C1180" i="1" l="1"/>
  <c r="D1179" i="1"/>
  <c r="D1180" i="1" s="1"/>
  <c r="E1179" i="1" l="1"/>
  <c r="C1181" i="1"/>
  <c r="E1180" i="1"/>
  <c r="C1182" i="1" l="1"/>
  <c r="D1181" i="1"/>
  <c r="D1182" i="1" s="1"/>
  <c r="E1181" i="1" l="1"/>
  <c r="C1183" i="1"/>
  <c r="E1182" i="1"/>
  <c r="C1184" i="1" l="1"/>
  <c r="D1183" i="1"/>
  <c r="D1184" i="1" s="1"/>
  <c r="E1183" i="1" l="1"/>
  <c r="C1185" i="1"/>
  <c r="E1184" i="1"/>
  <c r="C1186" i="1" l="1"/>
  <c r="D1185" i="1"/>
  <c r="D1186" i="1" s="1"/>
  <c r="E1185" i="1" l="1"/>
  <c r="C1187" i="1"/>
  <c r="E1186" i="1"/>
  <c r="C1188" i="1" l="1"/>
  <c r="D1187" i="1"/>
  <c r="D1188" i="1" s="1"/>
  <c r="E1187" i="1" l="1"/>
  <c r="C1189" i="1"/>
  <c r="E1188" i="1"/>
  <c r="C1190" i="1" l="1"/>
  <c r="D1189" i="1"/>
  <c r="D1190" i="1" s="1"/>
  <c r="E1189" i="1" l="1"/>
  <c r="C1191" i="1"/>
  <c r="E1190" i="1"/>
  <c r="C1192" i="1" l="1"/>
  <c r="D1191" i="1"/>
  <c r="D1192" i="1" s="1"/>
  <c r="E1191" i="1" l="1"/>
  <c r="C1193" i="1"/>
  <c r="E1192" i="1"/>
  <c r="C1194" i="1" l="1"/>
  <c r="D1193" i="1"/>
  <c r="D1194" i="1" s="1"/>
  <c r="E1193" i="1" l="1"/>
  <c r="C1195" i="1"/>
  <c r="E1194" i="1"/>
  <c r="C1196" i="1" l="1"/>
  <c r="D1195" i="1"/>
  <c r="D1196" i="1" s="1"/>
  <c r="E1195" i="1" l="1"/>
  <c r="C1197" i="1"/>
  <c r="E1196" i="1"/>
  <c r="C1198" i="1" l="1"/>
  <c r="D1197" i="1"/>
  <c r="D1198" i="1" s="1"/>
  <c r="E1197" i="1" l="1"/>
  <c r="C1199" i="1"/>
  <c r="E1198" i="1"/>
  <c r="C1200" i="1" l="1"/>
  <c r="D1199" i="1"/>
  <c r="D1200" i="1" s="1"/>
  <c r="E1199" i="1" l="1"/>
  <c r="C1201" i="1"/>
  <c r="E1200" i="1"/>
  <c r="C1202" i="1" l="1"/>
  <c r="D1201" i="1"/>
  <c r="D1202" i="1" s="1"/>
  <c r="E1201" i="1" l="1"/>
  <c r="C1203" i="1"/>
  <c r="E1202" i="1"/>
  <c r="C1204" i="1" l="1"/>
  <c r="D1203" i="1"/>
  <c r="D1204" i="1" s="1"/>
  <c r="E1203" i="1" l="1"/>
  <c r="C1205" i="1"/>
  <c r="E1204" i="1"/>
  <c r="C1206" i="1" l="1"/>
  <c r="D1205" i="1"/>
  <c r="D1206" i="1" s="1"/>
  <c r="E1205" i="1" l="1"/>
  <c r="C1207" i="1"/>
  <c r="E1206" i="1"/>
  <c r="C1208" i="1" l="1"/>
  <c r="D1207" i="1"/>
  <c r="D1208" i="1" s="1"/>
  <c r="E1207" i="1" l="1"/>
  <c r="C1209" i="1"/>
  <c r="E1208" i="1"/>
  <c r="C1210" i="1" l="1"/>
  <c r="D1209" i="1"/>
  <c r="D1210" i="1" l="1"/>
  <c r="E1209" i="1"/>
  <c r="C1211" i="1"/>
  <c r="E1210" i="1"/>
  <c r="C1212" i="1" l="1"/>
  <c r="D1211" i="1"/>
  <c r="D1212" i="1" s="1"/>
  <c r="E1211" i="1" l="1"/>
  <c r="C1213" i="1"/>
  <c r="E1212" i="1"/>
  <c r="C1214" i="1" l="1"/>
  <c r="D1213" i="1"/>
  <c r="D1214" i="1" s="1"/>
  <c r="E1213" i="1" l="1"/>
  <c r="C1215" i="1"/>
  <c r="E1214" i="1"/>
  <c r="C1216" i="1" l="1"/>
  <c r="D1215" i="1"/>
  <c r="D1216" i="1" s="1"/>
  <c r="E1215" i="1" l="1"/>
  <c r="C1217" i="1"/>
  <c r="E1216" i="1"/>
  <c r="C1218" i="1" l="1"/>
  <c r="D1217" i="1"/>
  <c r="D1218" i="1" l="1"/>
  <c r="E1218" i="1" s="1"/>
  <c r="E1217" i="1"/>
  <c r="C1219" i="1"/>
  <c r="C1220" i="1" l="1"/>
  <c r="D1219" i="1"/>
  <c r="D1220" i="1" s="1"/>
  <c r="E1219" i="1" l="1"/>
  <c r="C1221" i="1"/>
  <c r="E1220" i="1"/>
  <c r="C1222" i="1" l="1"/>
  <c r="D1221" i="1"/>
  <c r="D1222" i="1" s="1"/>
  <c r="E1221" i="1" l="1"/>
  <c r="C1223" i="1"/>
  <c r="E1222" i="1"/>
  <c r="C1224" i="1" l="1"/>
  <c r="D1223" i="1"/>
  <c r="D1224" i="1" s="1"/>
  <c r="E1223" i="1" l="1"/>
  <c r="C1225" i="1"/>
  <c r="E1224" i="1"/>
  <c r="C1226" i="1" l="1"/>
  <c r="D1225" i="1"/>
  <c r="D1226" i="1" s="1"/>
  <c r="E1225" i="1" l="1"/>
  <c r="C1227" i="1"/>
  <c r="E1226" i="1"/>
  <c r="C1228" i="1" l="1"/>
  <c r="D1227" i="1"/>
  <c r="D1228" i="1" s="1"/>
  <c r="E1227" i="1" l="1"/>
  <c r="C1229" i="1"/>
  <c r="E1228" i="1"/>
  <c r="C1230" i="1" l="1"/>
  <c r="D1229" i="1"/>
  <c r="D1230" i="1" s="1"/>
  <c r="E1229" i="1" l="1"/>
  <c r="C1231" i="1"/>
  <c r="E1230" i="1"/>
  <c r="C1232" i="1" l="1"/>
  <c r="D1231" i="1"/>
  <c r="D1232" i="1" s="1"/>
  <c r="E1231" i="1" l="1"/>
  <c r="C1233" i="1"/>
  <c r="E1232" i="1"/>
  <c r="C1234" i="1" l="1"/>
  <c r="D1233" i="1"/>
  <c r="D1234" i="1" s="1"/>
  <c r="E1233" i="1" l="1"/>
  <c r="C1235" i="1"/>
  <c r="E1234" i="1"/>
  <c r="C1236" i="1" l="1"/>
  <c r="D1235" i="1"/>
  <c r="D1236" i="1" s="1"/>
  <c r="E1235" i="1" l="1"/>
  <c r="C1237" i="1"/>
  <c r="E1236" i="1"/>
  <c r="C1238" i="1" l="1"/>
  <c r="D1237" i="1"/>
  <c r="D1238" i="1" s="1"/>
  <c r="E1237" i="1" l="1"/>
  <c r="C1239" i="1"/>
  <c r="E1238" i="1"/>
  <c r="C1240" i="1" l="1"/>
  <c r="D1239" i="1"/>
  <c r="D1240" i="1" s="1"/>
  <c r="E1239" i="1" l="1"/>
  <c r="C1241" i="1"/>
  <c r="E1240" i="1"/>
  <c r="C1242" i="1" l="1"/>
  <c r="D1241" i="1"/>
  <c r="D1242" i="1" s="1"/>
  <c r="E1241" i="1" l="1"/>
  <c r="C1243" i="1"/>
  <c r="E1242" i="1"/>
  <c r="C1244" i="1" l="1"/>
  <c r="D1243" i="1"/>
  <c r="D1244" i="1" s="1"/>
  <c r="E1243" i="1" l="1"/>
  <c r="C1245" i="1"/>
  <c r="E1244" i="1"/>
  <c r="C1246" i="1" l="1"/>
  <c r="D1245" i="1"/>
  <c r="D1246" i="1" s="1"/>
  <c r="E1245" i="1" l="1"/>
  <c r="C1247" i="1"/>
  <c r="E1246" i="1"/>
  <c r="C1248" i="1" l="1"/>
  <c r="D1247" i="1"/>
  <c r="D1248" i="1" s="1"/>
  <c r="E1247" i="1" l="1"/>
  <c r="C1249" i="1"/>
  <c r="E1248" i="1"/>
  <c r="C1250" i="1" l="1"/>
  <c r="D1249" i="1"/>
  <c r="D1250" i="1" s="1"/>
  <c r="E1249" i="1" l="1"/>
  <c r="C1251" i="1"/>
  <c r="E1250" i="1"/>
  <c r="C1252" i="1" l="1"/>
  <c r="D1251" i="1"/>
  <c r="D1252" i="1" s="1"/>
  <c r="E1251" i="1" l="1"/>
  <c r="C1253" i="1"/>
  <c r="E1252" i="1"/>
  <c r="C1254" i="1" l="1"/>
  <c r="D1253" i="1"/>
  <c r="D1254" i="1" s="1"/>
  <c r="E1253" i="1" l="1"/>
  <c r="C1255" i="1"/>
  <c r="E1254" i="1"/>
  <c r="D1255" i="1" l="1"/>
  <c r="D1256" i="1" s="1"/>
  <c r="E1255" i="1" l="1"/>
  <c r="E125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B8ABC-4595-4F84-AE44-647700CFFE25}" keepAlive="1" name="ModelConnection_ExternalData_1" description="Data Model" type="5" refreshedVersion="8" minRefreshableVersion="5" saveData="1">
    <dbPr connection="Data Model Connection" command="Portfolio_Return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5BB7B42-EDF1-417C-AAE9-6F81F3A865D9}" keepAlive="1" name="ModelConnection_ExternalData_11" description="Data Model" type="5" refreshedVersion="8" minRefreshableVersion="5" saveData="1">
    <dbPr connection="Data Model Connection" command="Summar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324E83E-FE11-495D-B002-F1E420C4A669}" keepAlive="1" name="ModelConnection_ExternalData_2" description="Data Model" type="5" refreshedVersion="8" minRefreshableVersion="5" saveData="1">
    <dbPr connection="Data Model Connection" command="CorrMatrix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FA45CBA3-5A1A-40F0-BEAA-6BCF40020D89}" keepAlive="1" name="ModelConnection_ExternalData_21" description="Data Model" type="5" refreshedVersion="8" minRefreshableVersion="5" saveData="1">
    <dbPr connection="Data Model Connection" command="CorrMatrix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064B0C4F-98E0-435D-A215-AF879DBC5596}" name="Query - CorrMatrix" description="Connection to the 'CorrMatrix' query in the workbook." type="100" refreshedVersion="8" minRefreshableVersion="5">
    <extLst>
      <ext xmlns:x15="http://schemas.microsoft.com/office/spreadsheetml/2010/11/main" uri="{DE250136-89BD-433C-8126-D09CA5730AF9}">
        <x15:connection id="7eaae820-6cfa-4c63-8be6-637e8a0783d1"/>
      </ext>
    </extLst>
  </connection>
  <connection id="6" xr16:uid="{E0F25D83-D088-4DC4-AAF6-09D9C87FFFB8}" name="Query - Portfolio_Returns" description="Connection to the 'Portfolio_Returns' query in the workbook." type="100" refreshedVersion="8" minRefreshableVersion="5">
    <extLst>
      <ext xmlns:x15="http://schemas.microsoft.com/office/spreadsheetml/2010/11/main" uri="{DE250136-89BD-433C-8126-D09CA5730AF9}">
        <x15:connection id="f009102a-d2e8-4ab8-97f7-c3a5dffb5ba1"/>
      </ext>
    </extLst>
  </connection>
  <connection id="7" xr16:uid="{C8AC5786-A154-4A28-A261-718D0587B61E}" name="Query - Summary" description="Connection to the 'Summary' query in the workbook." type="100" refreshedVersion="8" minRefreshableVersion="5">
    <extLst>
      <ext xmlns:x15="http://schemas.microsoft.com/office/spreadsheetml/2010/11/main" uri="{DE250136-89BD-433C-8126-D09CA5730AF9}">
        <x15:connection id="386a1cc2-9bda-4d9e-904e-2a47f4115955"/>
      </ext>
    </extLst>
  </connection>
  <connection id="8" xr16:uid="{0A1EB943-0652-4B6E-B379-17CC6ED0970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<sst xmlns="http://schemas.openxmlformats.org/spreadsheetml/2006/main" count="131" uniqueCount="54">
  <si>
    <t>Date</t>
  </si>
  <si>
    <t>PORT_EQW</t>
  </si>
  <si>
    <t>Peak</t>
  </si>
  <si>
    <t>Drawdown</t>
  </si>
  <si>
    <t>PORT_EQW (Portfolio Returns)</t>
  </si>
  <si>
    <t>Cummulative Return</t>
  </si>
  <si>
    <t>Equity (Growth of $10,000)</t>
  </si>
  <si>
    <t>Max Drawdown</t>
  </si>
  <si>
    <t>Column1</t>
  </si>
  <si>
    <t>Ann_Vol</t>
  </si>
  <si>
    <t>Max_Drawdown</t>
  </si>
  <si>
    <t>VaR_95</t>
  </si>
  <si>
    <t>CVaR_95</t>
  </si>
  <si>
    <t>Corr_with_SPY</t>
  </si>
  <si>
    <t>Start_Date</t>
  </si>
  <si>
    <t>End_Date</t>
  </si>
  <si>
    <t>Num_Obs</t>
  </si>
  <si>
    <t>DBC</t>
  </si>
  <si>
    <t>EEM</t>
  </si>
  <si>
    <t>EFA</t>
  </si>
  <si>
    <t>GLD</t>
  </si>
  <si>
    <t>HYG</t>
  </si>
  <si>
    <t>IEF</t>
  </si>
  <si>
    <t>IWM</t>
  </si>
  <si>
    <t>LQD</t>
  </si>
  <si>
    <t>QQQ</t>
  </si>
  <si>
    <t>SPY</t>
  </si>
  <si>
    <t>TLT</t>
  </si>
  <si>
    <t>VNQ</t>
  </si>
  <si>
    <t>ETF Risk Monitoring Dashboard (Equal-Weight Portfolio)</t>
  </si>
  <si>
    <t>Data: Daily Adj Close | Horizon: 5Y | VaR/CVaR: 95% Historical</t>
  </si>
  <si>
    <t>Highest Correlation Pair</t>
  </si>
  <si>
    <t>1-day VaR95</t>
  </si>
  <si>
    <t>1-day CVaR95</t>
  </si>
  <si>
    <t>Ticker</t>
  </si>
  <si>
    <t>Trough Row</t>
  </si>
  <si>
    <t>Trough Date</t>
  </si>
  <si>
    <t xml:space="preserve">Peak Row </t>
  </si>
  <si>
    <t xml:space="preserve">Peak Date </t>
  </si>
  <si>
    <t>Trading Days (Peak to Trough)</t>
  </si>
  <si>
    <t>Calendar Days (Peak to Trough)</t>
  </si>
  <si>
    <t>Recovery Row</t>
  </si>
  <si>
    <t>Recovery Date</t>
  </si>
  <si>
    <t>Trading Days (Peak to Recovery)</t>
  </si>
  <si>
    <t>Calendar Days (Peak to Recovery)</t>
  </si>
  <si>
    <t xml:space="preserve">Max Drawdown Episode </t>
  </si>
  <si>
    <r>
      <t xml:space="preserve">Depth: </t>
    </r>
    <r>
      <rPr>
        <sz val="11"/>
        <color theme="1"/>
        <rFont val="Aptos Narrow"/>
        <family val="2"/>
        <scheme val="minor"/>
      </rPr>
      <t>-21.52%</t>
    </r>
  </si>
  <si>
    <r>
      <t xml:space="preserve">Peak: </t>
    </r>
    <r>
      <rPr>
        <sz val="11"/>
        <color theme="1"/>
        <rFont val="Aptos Narrow"/>
        <family val="2"/>
        <scheme val="minor"/>
      </rPr>
      <t>2021-11-09</t>
    </r>
  </si>
  <si>
    <r>
      <t>Trough:</t>
    </r>
    <r>
      <rPr>
        <sz val="11"/>
        <color theme="1"/>
        <rFont val="Aptos Narrow"/>
        <family val="2"/>
        <scheme val="minor"/>
      </rPr>
      <t xml:space="preserve"> 2022-10-14</t>
    </r>
  </si>
  <si>
    <r>
      <t xml:space="preserve">Recovery: </t>
    </r>
    <r>
      <rPr>
        <sz val="11"/>
        <color theme="1"/>
        <rFont val="Aptos Narrow"/>
        <family val="2"/>
        <scheme val="minor"/>
      </rPr>
      <t>2024-05-20</t>
    </r>
  </si>
  <si>
    <r>
      <t xml:space="preserve">Peak to Trough: </t>
    </r>
    <r>
      <rPr>
        <sz val="11"/>
        <color theme="1"/>
        <rFont val="Aptos Narrow"/>
        <family val="2"/>
        <scheme val="minor"/>
      </rPr>
      <t>234 trading days</t>
    </r>
  </si>
  <si>
    <r>
      <t xml:space="preserve">Peak to Recovery: </t>
    </r>
    <r>
      <rPr>
        <sz val="11"/>
        <color theme="1"/>
        <rFont val="Aptos Narrow"/>
        <family val="2"/>
        <scheme val="minor"/>
      </rPr>
      <t>634 trading days</t>
    </r>
  </si>
  <si>
    <t>Annual Volatility</t>
  </si>
  <si>
    <t>Average Correlation to 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</si>
</sst>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0" fontId="0" fillId="0" borderId="0" xfId="0" applyNumberFormat="1"/>
    <xf numFmtId="14" fontId="0" fillId="0" borderId="0" xfId="0" applyNumberFormat="1"/>
    <xf numFmtId="9" fontId="0" fillId="0" borderId="0" xfId="2" applyFont="1"/>
    <xf numFmtId="9" fontId="3" fillId="2" borderId="1" xfId="2" applyFont="1" applyFill="1" applyBorder="1"/>
    <xf numFmtId="0" fontId="2" fillId="0" borderId="0" xfId="0" applyFont="1"/>
    <xf numFmtId="2" fontId="0" fillId="0" borderId="0" xfId="0" applyNumberFormat="1"/>
    <xf numFmtId="14" fontId="2" fillId="0" borderId="0" xfId="0" applyNumberFormat="1" applyFont="1"/>
    <xf numFmtId="2" fontId="3" fillId="2" borderId="1" xfId="0" applyNumberFormat="1" applyFont="1" applyFill="1" applyBorder="1"/>
    <xf numFmtId="0" fontId="0" fillId="2" borderId="1" xfId="0" applyFill="1" applyBorder="1"/>
    <xf numFmtId="9" fontId="2" fillId="0" borderId="0" xfId="2" applyFont="1"/>
    <xf numFmtId="2" fontId="4" fillId="0" borderId="0" xfId="1" applyNumberFormat="1" applyFont="1"/>
    <xf numFmtId="164" fontId="0" fillId="0" borderId="0" xfId="0" applyNumberFormat="1"/>
    <xf numFmtId="1" fontId="0" fillId="0" borderId="0" xfId="2" applyNumberFormat="1" applyFont="1"/>
    <xf numFmtId="10" fontId="3" fillId="3" borderId="1" xfId="2" applyNumberFormat="1" applyFont="1" applyFill="1" applyBorder="1"/>
    <xf numFmtId="0" fontId="5" fillId="3" borderId="1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638674033149171"/>
          <c:y val="2.0833333333333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12293589840257"/>
          <c:y val="0.12973418369056194"/>
          <c:w val="0.84447440944881891"/>
          <c:h val="0.77736111111111106"/>
        </c:manualLayout>
      </c:layout>
      <c:lineChart>
        <c:grouping val="standard"/>
        <c:varyColors val="0"/>
        <c:ser>
          <c:idx val="0"/>
          <c:order val="0"/>
          <c:tx>
            <c:strRef>
              <c:f>Portfolio_Calc!$F$1</c:f>
              <c:strCache>
                <c:ptCount val="1"/>
                <c:pt idx="0">
                  <c:v>Cummulative 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Portfolio_Calc!$A$2:$A$1256</c:f>
              <c:numCache>
                <c:formatCode>m/d/yyyy</c:formatCode>
                <c:ptCount val="1255"/>
                <c:pt idx="0">
                  <c:v>44257</c:v>
                </c:pt>
                <c:pt idx="1">
                  <c:v>44258</c:v>
                </c:pt>
                <c:pt idx="2">
                  <c:v>44259</c:v>
                </c:pt>
                <c:pt idx="3">
                  <c:v>44260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44270</c:v>
                </c:pt>
                <c:pt idx="10">
                  <c:v>44271</c:v>
                </c:pt>
                <c:pt idx="11">
                  <c:v>44272</c:v>
                </c:pt>
                <c:pt idx="12">
                  <c:v>44273</c:v>
                </c:pt>
                <c:pt idx="13">
                  <c:v>44274</c:v>
                </c:pt>
                <c:pt idx="14">
                  <c:v>44277</c:v>
                </c:pt>
                <c:pt idx="15">
                  <c:v>44278</c:v>
                </c:pt>
                <c:pt idx="16">
                  <c:v>44279</c:v>
                </c:pt>
                <c:pt idx="17">
                  <c:v>44280</c:v>
                </c:pt>
                <c:pt idx="18">
                  <c:v>44281</c:v>
                </c:pt>
                <c:pt idx="19">
                  <c:v>44284</c:v>
                </c:pt>
                <c:pt idx="20">
                  <c:v>44285</c:v>
                </c:pt>
                <c:pt idx="21">
                  <c:v>44286</c:v>
                </c:pt>
                <c:pt idx="22">
                  <c:v>44287</c:v>
                </c:pt>
                <c:pt idx="23">
                  <c:v>44291</c:v>
                </c:pt>
                <c:pt idx="24">
                  <c:v>44292</c:v>
                </c:pt>
                <c:pt idx="25">
                  <c:v>44293</c:v>
                </c:pt>
                <c:pt idx="26">
                  <c:v>44294</c:v>
                </c:pt>
                <c:pt idx="27">
                  <c:v>44295</c:v>
                </c:pt>
                <c:pt idx="28">
                  <c:v>44298</c:v>
                </c:pt>
                <c:pt idx="29">
                  <c:v>44299</c:v>
                </c:pt>
                <c:pt idx="30">
                  <c:v>44300</c:v>
                </c:pt>
                <c:pt idx="31">
                  <c:v>44301</c:v>
                </c:pt>
                <c:pt idx="32">
                  <c:v>44302</c:v>
                </c:pt>
                <c:pt idx="33">
                  <c:v>44305</c:v>
                </c:pt>
                <c:pt idx="34">
                  <c:v>44306</c:v>
                </c:pt>
                <c:pt idx="35">
                  <c:v>44307</c:v>
                </c:pt>
                <c:pt idx="36">
                  <c:v>44308</c:v>
                </c:pt>
                <c:pt idx="37">
                  <c:v>44309</c:v>
                </c:pt>
                <c:pt idx="38">
                  <c:v>44312</c:v>
                </c:pt>
                <c:pt idx="39">
                  <c:v>44313</c:v>
                </c:pt>
                <c:pt idx="40">
                  <c:v>44314</c:v>
                </c:pt>
                <c:pt idx="41">
                  <c:v>44315</c:v>
                </c:pt>
                <c:pt idx="42">
                  <c:v>44316</c:v>
                </c:pt>
                <c:pt idx="43">
                  <c:v>44319</c:v>
                </c:pt>
                <c:pt idx="44">
                  <c:v>44320</c:v>
                </c:pt>
                <c:pt idx="45">
                  <c:v>44321</c:v>
                </c:pt>
                <c:pt idx="46">
                  <c:v>44322</c:v>
                </c:pt>
                <c:pt idx="47">
                  <c:v>44323</c:v>
                </c:pt>
                <c:pt idx="48">
                  <c:v>44326</c:v>
                </c:pt>
                <c:pt idx="49">
                  <c:v>44327</c:v>
                </c:pt>
                <c:pt idx="50">
                  <c:v>44328</c:v>
                </c:pt>
                <c:pt idx="51">
                  <c:v>44329</c:v>
                </c:pt>
                <c:pt idx="52">
                  <c:v>44330</c:v>
                </c:pt>
                <c:pt idx="53">
                  <c:v>44333</c:v>
                </c:pt>
                <c:pt idx="54">
                  <c:v>44334</c:v>
                </c:pt>
                <c:pt idx="55">
                  <c:v>44335</c:v>
                </c:pt>
                <c:pt idx="56">
                  <c:v>44336</c:v>
                </c:pt>
                <c:pt idx="57">
                  <c:v>44337</c:v>
                </c:pt>
                <c:pt idx="58">
                  <c:v>44340</c:v>
                </c:pt>
                <c:pt idx="59">
                  <c:v>44341</c:v>
                </c:pt>
                <c:pt idx="60">
                  <c:v>44342</c:v>
                </c:pt>
                <c:pt idx="61">
                  <c:v>44343</c:v>
                </c:pt>
                <c:pt idx="62">
                  <c:v>44344</c:v>
                </c:pt>
                <c:pt idx="63">
                  <c:v>44348</c:v>
                </c:pt>
                <c:pt idx="64">
                  <c:v>44349</c:v>
                </c:pt>
                <c:pt idx="65">
                  <c:v>44350</c:v>
                </c:pt>
                <c:pt idx="66">
                  <c:v>44351</c:v>
                </c:pt>
                <c:pt idx="67">
                  <c:v>44354</c:v>
                </c:pt>
                <c:pt idx="68">
                  <c:v>44355</c:v>
                </c:pt>
                <c:pt idx="69">
                  <c:v>44356</c:v>
                </c:pt>
                <c:pt idx="70">
                  <c:v>44357</c:v>
                </c:pt>
                <c:pt idx="71">
                  <c:v>44358</c:v>
                </c:pt>
                <c:pt idx="72">
                  <c:v>44361</c:v>
                </c:pt>
                <c:pt idx="73">
                  <c:v>44362</c:v>
                </c:pt>
                <c:pt idx="74">
                  <c:v>44363</c:v>
                </c:pt>
                <c:pt idx="75">
                  <c:v>44364</c:v>
                </c:pt>
                <c:pt idx="76">
                  <c:v>44365</c:v>
                </c:pt>
                <c:pt idx="77">
                  <c:v>44368</c:v>
                </c:pt>
                <c:pt idx="78">
                  <c:v>44369</c:v>
                </c:pt>
                <c:pt idx="79">
                  <c:v>44370</c:v>
                </c:pt>
                <c:pt idx="80">
                  <c:v>44371</c:v>
                </c:pt>
                <c:pt idx="81">
                  <c:v>44372</c:v>
                </c:pt>
                <c:pt idx="82">
                  <c:v>44375</c:v>
                </c:pt>
                <c:pt idx="83">
                  <c:v>44376</c:v>
                </c:pt>
                <c:pt idx="84">
                  <c:v>44377</c:v>
                </c:pt>
                <c:pt idx="85">
                  <c:v>44378</c:v>
                </c:pt>
                <c:pt idx="86">
                  <c:v>44379</c:v>
                </c:pt>
                <c:pt idx="87">
                  <c:v>44383</c:v>
                </c:pt>
                <c:pt idx="88">
                  <c:v>44384</c:v>
                </c:pt>
                <c:pt idx="89">
                  <c:v>44385</c:v>
                </c:pt>
                <c:pt idx="90">
                  <c:v>44386</c:v>
                </c:pt>
                <c:pt idx="91">
                  <c:v>44389</c:v>
                </c:pt>
                <c:pt idx="92">
                  <c:v>44390</c:v>
                </c:pt>
                <c:pt idx="93">
                  <c:v>44391</c:v>
                </c:pt>
                <c:pt idx="94">
                  <c:v>44392</c:v>
                </c:pt>
                <c:pt idx="95">
                  <c:v>44393</c:v>
                </c:pt>
                <c:pt idx="96">
                  <c:v>44396</c:v>
                </c:pt>
                <c:pt idx="97">
                  <c:v>44397</c:v>
                </c:pt>
                <c:pt idx="98">
                  <c:v>44398</c:v>
                </c:pt>
                <c:pt idx="99">
                  <c:v>44399</c:v>
                </c:pt>
                <c:pt idx="100">
                  <c:v>44400</c:v>
                </c:pt>
                <c:pt idx="101">
                  <c:v>44403</c:v>
                </c:pt>
                <c:pt idx="102">
                  <c:v>44404</c:v>
                </c:pt>
                <c:pt idx="103">
                  <c:v>44405</c:v>
                </c:pt>
                <c:pt idx="104">
                  <c:v>44406</c:v>
                </c:pt>
                <c:pt idx="105">
                  <c:v>44407</c:v>
                </c:pt>
                <c:pt idx="106">
                  <c:v>44410</c:v>
                </c:pt>
                <c:pt idx="107">
                  <c:v>44411</c:v>
                </c:pt>
                <c:pt idx="108">
                  <c:v>44412</c:v>
                </c:pt>
                <c:pt idx="109">
                  <c:v>44413</c:v>
                </c:pt>
                <c:pt idx="110">
                  <c:v>44414</c:v>
                </c:pt>
                <c:pt idx="111">
                  <c:v>44417</c:v>
                </c:pt>
                <c:pt idx="112">
                  <c:v>44418</c:v>
                </c:pt>
                <c:pt idx="113">
                  <c:v>44419</c:v>
                </c:pt>
                <c:pt idx="114">
                  <c:v>44420</c:v>
                </c:pt>
                <c:pt idx="115">
                  <c:v>44421</c:v>
                </c:pt>
                <c:pt idx="116">
                  <c:v>44424</c:v>
                </c:pt>
                <c:pt idx="117">
                  <c:v>44425</c:v>
                </c:pt>
                <c:pt idx="118">
                  <c:v>44426</c:v>
                </c:pt>
                <c:pt idx="119">
                  <c:v>44427</c:v>
                </c:pt>
                <c:pt idx="120">
                  <c:v>44428</c:v>
                </c:pt>
                <c:pt idx="121">
                  <c:v>44431</c:v>
                </c:pt>
                <c:pt idx="122">
                  <c:v>44432</c:v>
                </c:pt>
                <c:pt idx="123">
                  <c:v>44433</c:v>
                </c:pt>
                <c:pt idx="124">
                  <c:v>44434</c:v>
                </c:pt>
                <c:pt idx="125">
                  <c:v>44435</c:v>
                </c:pt>
                <c:pt idx="126">
                  <c:v>44438</c:v>
                </c:pt>
                <c:pt idx="127">
                  <c:v>44439</c:v>
                </c:pt>
                <c:pt idx="128">
                  <c:v>44440</c:v>
                </c:pt>
                <c:pt idx="129">
                  <c:v>44441</c:v>
                </c:pt>
                <c:pt idx="130">
                  <c:v>44442</c:v>
                </c:pt>
                <c:pt idx="131">
                  <c:v>44446</c:v>
                </c:pt>
                <c:pt idx="132">
                  <c:v>44447</c:v>
                </c:pt>
                <c:pt idx="133">
                  <c:v>44448</c:v>
                </c:pt>
                <c:pt idx="134">
                  <c:v>44449</c:v>
                </c:pt>
                <c:pt idx="135">
                  <c:v>44452</c:v>
                </c:pt>
                <c:pt idx="136">
                  <c:v>44453</c:v>
                </c:pt>
                <c:pt idx="137">
                  <c:v>44454</c:v>
                </c:pt>
                <c:pt idx="138">
                  <c:v>44455</c:v>
                </c:pt>
                <c:pt idx="139">
                  <c:v>44456</c:v>
                </c:pt>
                <c:pt idx="140">
                  <c:v>44459</c:v>
                </c:pt>
                <c:pt idx="141">
                  <c:v>44460</c:v>
                </c:pt>
                <c:pt idx="142">
                  <c:v>44461</c:v>
                </c:pt>
                <c:pt idx="143">
                  <c:v>44462</c:v>
                </c:pt>
                <c:pt idx="144">
                  <c:v>44463</c:v>
                </c:pt>
                <c:pt idx="145">
                  <c:v>44466</c:v>
                </c:pt>
                <c:pt idx="146">
                  <c:v>44467</c:v>
                </c:pt>
                <c:pt idx="147">
                  <c:v>44468</c:v>
                </c:pt>
                <c:pt idx="148">
                  <c:v>44469</c:v>
                </c:pt>
                <c:pt idx="149">
                  <c:v>44470</c:v>
                </c:pt>
                <c:pt idx="150">
                  <c:v>44473</c:v>
                </c:pt>
                <c:pt idx="151">
                  <c:v>44474</c:v>
                </c:pt>
                <c:pt idx="152">
                  <c:v>44475</c:v>
                </c:pt>
                <c:pt idx="153">
                  <c:v>44476</c:v>
                </c:pt>
                <c:pt idx="154">
                  <c:v>44477</c:v>
                </c:pt>
                <c:pt idx="155">
                  <c:v>44480</c:v>
                </c:pt>
                <c:pt idx="156">
                  <c:v>44481</c:v>
                </c:pt>
                <c:pt idx="157">
                  <c:v>44482</c:v>
                </c:pt>
                <c:pt idx="158">
                  <c:v>44483</c:v>
                </c:pt>
                <c:pt idx="159">
                  <c:v>44484</c:v>
                </c:pt>
                <c:pt idx="160">
                  <c:v>44487</c:v>
                </c:pt>
                <c:pt idx="161">
                  <c:v>44488</c:v>
                </c:pt>
                <c:pt idx="162">
                  <c:v>44489</c:v>
                </c:pt>
                <c:pt idx="163">
                  <c:v>44490</c:v>
                </c:pt>
                <c:pt idx="164">
                  <c:v>44491</c:v>
                </c:pt>
                <c:pt idx="165">
                  <c:v>44494</c:v>
                </c:pt>
                <c:pt idx="166">
                  <c:v>44495</c:v>
                </c:pt>
                <c:pt idx="167">
                  <c:v>44496</c:v>
                </c:pt>
                <c:pt idx="168">
                  <c:v>44497</c:v>
                </c:pt>
                <c:pt idx="169">
                  <c:v>44498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  <c:pt idx="175">
                  <c:v>44508</c:v>
                </c:pt>
                <c:pt idx="176">
                  <c:v>44509</c:v>
                </c:pt>
                <c:pt idx="177">
                  <c:v>44510</c:v>
                </c:pt>
                <c:pt idx="178">
                  <c:v>44511</c:v>
                </c:pt>
                <c:pt idx="179">
                  <c:v>44512</c:v>
                </c:pt>
                <c:pt idx="180">
                  <c:v>44515</c:v>
                </c:pt>
                <c:pt idx="181">
                  <c:v>44516</c:v>
                </c:pt>
                <c:pt idx="182">
                  <c:v>44517</c:v>
                </c:pt>
                <c:pt idx="183">
                  <c:v>44518</c:v>
                </c:pt>
                <c:pt idx="184">
                  <c:v>44519</c:v>
                </c:pt>
                <c:pt idx="185">
                  <c:v>44522</c:v>
                </c:pt>
                <c:pt idx="186">
                  <c:v>44523</c:v>
                </c:pt>
                <c:pt idx="187">
                  <c:v>44524</c:v>
                </c:pt>
                <c:pt idx="188">
                  <c:v>44526</c:v>
                </c:pt>
                <c:pt idx="189">
                  <c:v>44529</c:v>
                </c:pt>
                <c:pt idx="190">
                  <c:v>44530</c:v>
                </c:pt>
                <c:pt idx="191">
                  <c:v>44531</c:v>
                </c:pt>
                <c:pt idx="192">
                  <c:v>44532</c:v>
                </c:pt>
                <c:pt idx="193">
                  <c:v>44533</c:v>
                </c:pt>
                <c:pt idx="194">
                  <c:v>44536</c:v>
                </c:pt>
                <c:pt idx="195">
                  <c:v>44537</c:v>
                </c:pt>
                <c:pt idx="196">
                  <c:v>44538</c:v>
                </c:pt>
                <c:pt idx="197">
                  <c:v>44539</c:v>
                </c:pt>
                <c:pt idx="198">
                  <c:v>44540</c:v>
                </c:pt>
                <c:pt idx="199">
                  <c:v>44543</c:v>
                </c:pt>
                <c:pt idx="200">
                  <c:v>44544</c:v>
                </c:pt>
                <c:pt idx="201">
                  <c:v>44545</c:v>
                </c:pt>
                <c:pt idx="202">
                  <c:v>44546</c:v>
                </c:pt>
                <c:pt idx="203">
                  <c:v>44547</c:v>
                </c:pt>
                <c:pt idx="204">
                  <c:v>44550</c:v>
                </c:pt>
                <c:pt idx="205">
                  <c:v>44551</c:v>
                </c:pt>
                <c:pt idx="206">
                  <c:v>44552</c:v>
                </c:pt>
                <c:pt idx="207">
                  <c:v>44553</c:v>
                </c:pt>
                <c:pt idx="208">
                  <c:v>44557</c:v>
                </c:pt>
                <c:pt idx="209">
                  <c:v>44558</c:v>
                </c:pt>
                <c:pt idx="210">
                  <c:v>44559</c:v>
                </c:pt>
                <c:pt idx="211">
                  <c:v>44560</c:v>
                </c:pt>
                <c:pt idx="212">
                  <c:v>44561</c:v>
                </c:pt>
                <c:pt idx="213">
                  <c:v>44564</c:v>
                </c:pt>
                <c:pt idx="214">
                  <c:v>44565</c:v>
                </c:pt>
                <c:pt idx="215">
                  <c:v>44566</c:v>
                </c:pt>
                <c:pt idx="216">
                  <c:v>44567</c:v>
                </c:pt>
                <c:pt idx="217">
                  <c:v>44568</c:v>
                </c:pt>
                <c:pt idx="218">
                  <c:v>44571</c:v>
                </c:pt>
                <c:pt idx="219">
                  <c:v>44572</c:v>
                </c:pt>
                <c:pt idx="220">
                  <c:v>44573</c:v>
                </c:pt>
                <c:pt idx="221">
                  <c:v>44574</c:v>
                </c:pt>
                <c:pt idx="222">
                  <c:v>44575</c:v>
                </c:pt>
                <c:pt idx="223">
                  <c:v>44579</c:v>
                </c:pt>
                <c:pt idx="224">
                  <c:v>44580</c:v>
                </c:pt>
                <c:pt idx="225">
                  <c:v>44581</c:v>
                </c:pt>
                <c:pt idx="226">
                  <c:v>44582</c:v>
                </c:pt>
                <c:pt idx="227">
                  <c:v>44585</c:v>
                </c:pt>
                <c:pt idx="228">
                  <c:v>44586</c:v>
                </c:pt>
                <c:pt idx="229">
                  <c:v>44587</c:v>
                </c:pt>
                <c:pt idx="230">
                  <c:v>44588</c:v>
                </c:pt>
                <c:pt idx="231">
                  <c:v>44589</c:v>
                </c:pt>
                <c:pt idx="232">
                  <c:v>44592</c:v>
                </c:pt>
                <c:pt idx="233">
                  <c:v>44593</c:v>
                </c:pt>
                <c:pt idx="234">
                  <c:v>44594</c:v>
                </c:pt>
                <c:pt idx="235">
                  <c:v>44595</c:v>
                </c:pt>
                <c:pt idx="236">
                  <c:v>44596</c:v>
                </c:pt>
                <c:pt idx="237">
                  <c:v>44599</c:v>
                </c:pt>
                <c:pt idx="238">
                  <c:v>44600</c:v>
                </c:pt>
                <c:pt idx="239">
                  <c:v>44601</c:v>
                </c:pt>
                <c:pt idx="240">
                  <c:v>44602</c:v>
                </c:pt>
                <c:pt idx="241">
                  <c:v>44603</c:v>
                </c:pt>
                <c:pt idx="242">
                  <c:v>44606</c:v>
                </c:pt>
                <c:pt idx="243">
                  <c:v>44607</c:v>
                </c:pt>
                <c:pt idx="244">
                  <c:v>44608</c:v>
                </c:pt>
                <c:pt idx="245">
                  <c:v>44609</c:v>
                </c:pt>
                <c:pt idx="246">
                  <c:v>44610</c:v>
                </c:pt>
                <c:pt idx="247">
                  <c:v>44614</c:v>
                </c:pt>
                <c:pt idx="248">
                  <c:v>44615</c:v>
                </c:pt>
                <c:pt idx="249">
                  <c:v>44616</c:v>
                </c:pt>
                <c:pt idx="250">
                  <c:v>44617</c:v>
                </c:pt>
                <c:pt idx="251">
                  <c:v>44620</c:v>
                </c:pt>
                <c:pt idx="252">
                  <c:v>44621</c:v>
                </c:pt>
                <c:pt idx="253">
                  <c:v>44622</c:v>
                </c:pt>
                <c:pt idx="254">
                  <c:v>44623</c:v>
                </c:pt>
                <c:pt idx="255">
                  <c:v>44624</c:v>
                </c:pt>
                <c:pt idx="256">
                  <c:v>44627</c:v>
                </c:pt>
                <c:pt idx="257">
                  <c:v>44628</c:v>
                </c:pt>
                <c:pt idx="258">
                  <c:v>44629</c:v>
                </c:pt>
                <c:pt idx="259">
                  <c:v>44630</c:v>
                </c:pt>
                <c:pt idx="260">
                  <c:v>44631</c:v>
                </c:pt>
                <c:pt idx="261">
                  <c:v>44634</c:v>
                </c:pt>
                <c:pt idx="262">
                  <c:v>44635</c:v>
                </c:pt>
                <c:pt idx="263">
                  <c:v>44636</c:v>
                </c:pt>
                <c:pt idx="264">
                  <c:v>44637</c:v>
                </c:pt>
                <c:pt idx="265">
                  <c:v>44638</c:v>
                </c:pt>
                <c:pt idx="266">
                  <c:v>44641</c:v>
                </c:pt>
                <c:pt idx="267">
                  <c:v>44642</c:v>
                </c:pt>
                <c:pt idx="268">
                  <c:v>44643</c:v>
                </c:pt>
                <c:pt idx="269">
                  <c:v>44644</c:v>
                </c:pt>
                <c:pt idx="270">
                  <c:v>44645</c:v>
                </c:pt>
                <c:pt idx="271">
                  <c:v>44648</c:v>
                </c:pt>
                <c:pt idx="272">
                  <c:v>44649</c:v>
                </c:pt>
                <c:pt idx="273">
                  <c:v>44650</c:v>
                </c:pt>
                <c:pt idx="274">
                  <c:v>44651</c:v>
                </c:pt>
                <c:pt idx="275">
                  <c:v>44652</c:v>
                </c:pt>
                <c:pt idx="276">
                  <c:v>44655</c:v>
                </c:pt>
                <c:pt idx="277">
                  <c:v>44656</c:v>
                </c:pt>
                <c:pt idx="278">
                  <c:v>44657</c:v>
                </c:pt>
                <c:pt idx="279">
                  <c:v>44658</c:v>
                </c:pt>
                <c:pt idx="280">
                  <c:v>44659</c:v>
                </c:pt>
                <c:pt idx="281">
                  <c:v>44662</c:v>
                </c:pt>
                <c:pt idx="282">
                  <c:v>44663</c:v>
                </c:pt>
                <c:pt idx="283">
                  <c:v>44664</c:v>
                </c:pt>
                <c:pt idx="284">
                  <c:v>44665</c:v>
                </c:pt>
                <c:pt idx="285">
                  <c:v>44669</c:v>
                </c:pt>
                <c:pt idx="286">
                  <c:v>44670</c:v>
                </c:pt>
                <c:pt idx="287">
                  <c:v>44671</c:v>
                </c:pt>
                <c:pt idx="288">
                  <c:v>44672</c:v>
                </c:pt>
                <c:pt idx="289">
                  <c:v>44673</c:v>
                </c:pt>
                <c:pt idx="290">
                  <c:v>44676</c:v>
                </c:pt>
                <c:pt idx="291">
                  <c:v>44677</c:v>
                </c:pt>
                <c:pt idx="292">
                  <c:v>44678</c:v>
                </c:pt>
                <c:pt idx="293">
                  <c:v>44679</c:v>
                </c:pt>
                <c:pt idx="294">
                  <c:v>44680</c:v>
                </c:pt>
                <c:pt idx="295">
                  <c:v>44683</c:v>
                </c:pt>
                <c:pt idx="296">
                  <c:v>44684</c:v>
                </c:pt>
                <c:pt idx="297">
                  <c:v>44685</c:v>
                </c:pt>
                <c:pt idx="298">
                  <c:v>44686</c:v>
                </c:pt>
                <c:pt idx="299">
                  <c:v>44687</c:v>
                </c:pt>
                <c:pt idx="300">
                  <c:v>44690</c:v>
                </c:pt>
                <c:pt idx="301">
                  <c:v>44691</c:v>
                </c:pt>
                <c:pt idx="302">
                  <c:v>44692</c:v>
                </c:pt>
                <c:pt idx="303">
                  <c:v>44693</c:v>
                </c:pt>
                <c:pt idx="304">
                  <c:v>44694</c:v>
                </c:pt>
                <c:pt idx="305">
                  <c:v>44697</c:v>
                </c:pt>
                <c:pt idx="306">
                  <c:v>44698</c:v>
                </c:pt>
                <c:pt idx="307">
                  <c:v>44699</c:v>
                </c:pt>
                <c:pt idx="308">
                  <c:v>44700</c:v>
                </c:pt>
                <c:pt idx="309">
                  <c:v>44701</c:v>
                </c:pt>
                <c:pt idx="310">
                  <c:v>44704</c:v>
                </c:pt>
                <c:pt idx="311">
                  <c:v>44705</c:v>
                </c:pt>
                <c:pt idx="312">
                  <c:v>44706</c:v>
                </c:pt>
                <c:pt idx="313">
                  <c:v>44707</c:v>
                </c:pt>
                <c:pt idx="314">
                  <c:v>44708</c:v>
                </c:pt>
                <c:pt idx="315">
                  <c:v>44712</c:v>
                </c:pt>
                <c:pt idx="316">
                  <c:v>44713</c:v>
                </c:pt>
                <c:pt idx="317">
                  <c:v>44714</c:v>
                </c:pt>
                <c:pt idx="318">
                  <c:v>44715</c:v>
                </c:pt>
                <c:pt idx="319">
                  <c:v>44718</c:v>
                </c:pt>
                <c:pt idx="320">
                  <c:v>44719</c:v>
                </c:pt>
                <c:pt idx="321">
                  <c:v>44720</c:v>
                </c:pt>
                <c:pt idx="322">
                  <c:v>44721</c:v>
                </c:pt>
                <c:pt idx="323">
                  <c:v>44722</c:v>
                </c:pt>
                <c:pt idx="324">
                  <c:v>44725</c:v>
                </c:pt>
                <c:pt idx="325">
                  <c:v>44726</c:v>
                </c:pt>
                <c:pt idx="326">
                  <c:v>44727</c:v>
                </c:pt>
                <c:pt idx="327">
                  <c:v>44728</c:v>
                </c:pt>
                <c:pt idx="328">
                  <c:v>44729</c:v>
                </c:pt>
                <c:pt idx="329">
                  <c:v>44733</c:v>
                </c:pt>
                <c:pt idx="330">
                  <c:v>44734</c:v>
                </c:pt>
                <c:pt idx="331">
                  <c:v>44735</c:v>
                </c:pt>
                <c:pt idx="332">
                  <c:v>44736</c:v>
                </c:pt>
                <c:pt idx="333">
                  <c:v>44739</c:v>
                </c:pt>
                <c:pt idx="334">
                  <c:v>44740</c:v>
                </c:pt>
                <c:pt idx="335">
                  <c:v>44741</c:v>
                </c:pt>
                <c:pt idx="336">
                  <c:v>44742</c:v>
                </c:pt>
                <c:pt idx="337">
                  <c:v>44743</c:v>
                </c:pt>
                <c:pt idx="338">
                  <c:v>44747</c:v>
                </c:pt>
                <c:pt idx="339">
                  <c:v>44748</c:v>
                </c:pt>
                <c:pt idx="340">
                  <c:v>44749</c:v>
                </c:pt>
                <c:pt idx="341">
                  <c:v>44750</c:v>
                </c:pt>
                <c:pt idx="342">
                  <c:v>44753</c:v>
                </c:pt>
                <c:pt idx="343">
                  <c:v>44754</c:v>
                </c:pt>
                <c:pt idx="344">
                  <c:v>44755</c:v>
                </c:pt>
                <c:pt idx="345">
                  <c:v>44756</c:v>
                </c:pt>
                <c:pt idx="346">
                  <c:v>44757</c:v>
                </c:pt>
                <c:pt idx="347">
                  <c:v>44760</c:v>
                </c:pt>
                <c:pt idx="348">
                  <c:v>44761</c:v>
                </c:pt>
                <c:pt idx="349">
                  <c:v>44762</c:v>
                </c:pt>
                <c:pt idx="350">
                  <c:v>44763</c:v>
                </c:pt>
                <c:pt idx="351">
                  <c:v>44764</c:v>
                </c:pt>
                <c:pt idx="352">
                  <c:v>44767</c:v>
                </c:pt>
                <c:pt idx="353">
                  <c:v>44768</c:v>
                </c:pt>
                <c:pt idx="354">
                  <c:v>44769</c:v>
                </c:pt>
                <c:pt idx="355">
                  <c:v>44770</c:v>
                </c:pt>
                <c:pt idx="356">
                  <c:v>44771</c:v>
                </c:pt>
                <c:pt idx="357">
                  <c:v>44774</c:v>
                </c:pt>
                <c:pt idx="358">
                  <c:v>44775</c:v>
                </c:pt>
                <c:pt idx="359">
                  <c:v>44776</c:v>
                </c:pt>
                <c:pt idx="360">
                  <c:v>44777</c:v>
                </c:pt>
                <c:pt idx="361">
                  <c:v>44778</c:v>
                </c:pt>
                <c:pt idx="362">
                  <c:v>44781</c:v>
                </c:pt>
                <c:pt idx="363">
                  <c:v>44782</c:v>
                </c:pt>
                <c:pt idx="364">
                  <c:v>44783</c:v>
                </c:pt>
                <c:pt idx="365">
                  <c:v>44784</c:v>
                </c:pt>
                <c:pt idx="366">
                  <c:v>44785</c:v>
                </c:pt>
                <c:pt idx="367">
                  <c:v>44788</c:v>
                </c:pt>
                <c:pt idx="368">
                  <c:v>44789</c:v>
                </c:pt>
                <c:pt idx="369">
                  <c:v>44790</c:v>
                </c:pt>
                <c:pt idx="370">
                  <c:v>44791</c:v>
                </c:pt>
                <c:pt idx="371">
                  <c:v>44792</c:v>
                </c:pt>
                <c:pt idx="372">
                  <c:v>44795</c:v>
                </c:pt>
                <c:pt idx="373">
                  <c:v>44796</c:v>
                </c:pt>
                <c:pt idx="374">
                  <c:v>44797</c:v>
                </c:pt>
                <c:pt idx="375">
                  <c:v>44798</c:v>
                </c:pt>
                <c:pt idx="376">
                  <c:v>44799</c:v>
                </c:pt>
                <c:pt idx="377">
                  <c:v>44802</c:v>
                </c:pt>
                <c:pt idx="378">
                  <c:v>44803</c:v>
                </c:pt>
                <c:pt idx="379">
                  <c:v>44804</c:v>
                </c:pt>
                <c:pt idx="380">
                  <c:v>44805</c:v>
                </c:pt>
                <c:pt idx="381">
                  <c:v>44806</c:v>
                </c:pt>
                <c:pt idx="382">
                  <c:v>44810</c:v>
                </c:pt>
                <c:pt idx="383">
                  <c:v>44811</c:v>
                </c:pt>
                <c:pt idx="384">
                  <c:v>44812</c:v>
                </c:pt>
                <c:pt idx="385">
                  <c:v>44813</c:v>
                </c:pt>
                <c:pt idx="386">
                  <c:v>44816</c:v>
                </c:pt>
                <c:pt idx="387">
                  <c:v>44817</c:v>
                </c:pt>
                <c:pt idx="388">
                  <c:v>44818</c:v>
                </c:pt>
                <c:pt idx="389">
                  <c:v>44819</c:v>
                </c:pt>
                <c:pt idx="390">
                  <c:v>44820</c:v>
                </c:pt>
                <c:pt idx="391">
                  <c:v>44823</c:v>
                </c:pt>
                <c:pt idx="392">
                  <c:v>44824</c:v>
                </c:pt>
                <c:pt idx="393">
                  <c:v>44825</c:v>
                </c:pt>
                <c:pt idx="394">
                  <c:v>44826</c:v>
                </c:pt>
                <c:pt idx="395">
                  <c:v>44827</c:v>
                </c:pt>
                <c:pt idx="396">
                  <c:v>44830</c:v>
                </c:pt>
                <c:pt idx="397">
                  <c:v>44831</c:v>
                </c:pt>
                <c:pt idx="398">
                  <c:v>44832</c:v>
                </c:pt>
                <c:pt idx="399">
                  <c:v>44833</c:v>
                </c:pt>
                <c:pt idx="400">
                  <c:v>44834</c:v>
                </c:pt>
                <c:pt idx="401">
                  <c:v>44837</c:v>
                </c:pt>
                <c:pt idx="402">
                  <c:v>44838</c:v>
                </c:pt>
                <c:pt idx="403">
                  <c:v>44839</c:v>
                </c:pt>
                <c:pt idx="404">
                  <c:v>44840</c:v>
                </c:pt>
                <c:pt idx="405">
                  <c:v>44841</c:v>
                </c:pt>
                <c:pt idx="406">
                  <c:v>44844</c:v>
                </c:pt>
                <c:pt idx="407">
                  <c:v>44845</c:v>
                </c:pt>
                <c:pt idx="408">
                  <c:v>44846</c:v>
                </c:pt>
                <c:pt idx="409">
                  <c:v>44847</c:v>
                </c:pt>
                <c:pt idx="410">
                  <c:v>44848</c:v>
                </c:pt>
                <c:pt idx="411">
                  <c:v>44851</c:v>
                </c:pt>
                <c:pt idx="412">
                  <c:v>44852</c:v>
                </c:pt>
                <c:pt idx="413">
                  <c:v>44853</c:v>
                </c:pt>
                <c:pt idx="414">
                  <c:v>44854</c:v>
                </c:pt>
                <c:pt idx="415">
                  <c:v>44855</c:v>
                </c:pt>
                <c:pt idx="416">
                  <c:v>44858</c:v>
                </c:pt>
                <c:pt idx="417">
                  <c:v>44859</c:v>
                </c:pt>
                <c:pt idx="418">
                  <c:v>44860</c:v>
                </c:pt>
                <c:pt idx="419">
                  <c:v>44861</c:v>
                </c:pt>
                <c:pt idx="420">
                  <c:v>44862</c:v>
                </c:pt>
                <c:pt idx="421">
                  <c:v>44865</c:v>
                </c:pt>
                <c:pt idx="422">
                  <c:v>44866</c:v>
                </c:pt>
                <c:pt idx="423">
                  <c:v>44867</c:v>
                </c:pt>
                <c:pt idx="424">
                  <c:v>44868</c:v>
                </c:pt>
                <c:pt idx="425">
                  <c:v>44869</c:v>
                </c:pt>
                <c:pt idx="426">
                  <c:v>44872</c:v>
                </c:pt>
                <c:pt idx="427">
                  <c:v>44873</c:v>
                </c:pt>
                <c:pt idx="428">
                  <c:v>44874</c:v>
                </c:pt>
                <c:pt idx="429">
                  <c:v>44875</c:v>
                </c:pt>
                <c:pt idx="430">
                  <c:v>44876</c:v>
                </c:pt>
                <c:pt idx="431">
                  <c:v>44879</c:v>
                </c:pt>
                <c:pt idx="432">
                  <c:v>44880</c:v>
                </c:pt>
                <c:pt idx="433">
                  <c:v>44881</c:v>
                </c:pt>
                <c:pt idx="434">
                  <c:v>44882</c:v>
                </c:pt>
                <c:pt idx="435">
                  <c:v>44883</c:v>
                </c:pt>
                <c:pt idx="436">
                  <c:v>44886</c:v>
                </c:pt>
                <c:pt idx="437">
                  <c:v>44887</c:v>
                </c:pt>
                <c:pt idx="438">
                  <c:v>44888</c:v>
                </c:pt>
                <c:pt idx="439">
                  <c:v>44890</c:v>
                </c:pt>
                <c:pt idx="440">
                  <c:v>44893</c:v>
                </c:pt>
                <c:pt idx="441">
                  <c:v>44894</c:v>
                </c:pt>
                <c:pt idx="442">
                  <c:v>44895</c:v>
                </c:pt>
                <c:pt idx="443">
                  <c:v>44896</c:v>
                </c:pt>
                <c:pt idx="444">
                  <c:v>44897</c:v>
                </c:pt>
                <c:pt idx="445">
                  <c:v>44900</c:v>
                </c:pt>
                <c:pt idx="446">
                  <c:v>44901</c:v>
                </c:pt>
                <c:pt idx="447">
                  <c:v>44902</c:v>
                </c:pt>
                <c:pt idx="448">
                  <c:v>44903</c:v>
                </c:pt>
                <c:pt idx="449">
                  <c:v>44904</c:v>
                </c:pt>
                <c:pt idx="450">
                  <c:v>44907</c:v>
                </c:pt>
                <c:pt idx="451">
                  <c:v>44908</c:v>
                </c:pt>
                <c:pt idx="452">
                  <c:v>44909</c:v>
                </c:pt>
                <c:pt idx="453">
                  <c:v>44910</c:v>
                </c:pt>
                <c:pt idx="454">
                  <c:v>44911</c:v>
                </c:pt>
                <c:pt idx="455">
                  <c:v>44914</c:v>
                </c:pt>
                <c:pt idx="456">
                  <c:v>44915</c:v>
                </c:pt>
                <c:pt idx="457">
                  <c:v>44916</c:v>
                </c:pt>
                <c:pt idx="458">
                  <c:v>44917</c:v>
                </c:pt>
                <c:pt idx="459">
                  <c:v>44918</c:v>
                </c:pt>
                <c:pt idx="460">
                  <c:v>44922</c:v>
                </c:pt>
                <c:pt idx="461">
                  <c:v>44923</c:v>
                </c:pt>
                <c:pt idx="462">
                  <c:v>44924</c:v>
                </c:pt>
                <c:pt idx="463">
                  <c:v>44925</c:v>
                </c:pt>
                <c:pt idx="464">
                  <c:v>44929</c:v>
                </c:pt>
                <c:pt idx="465">
                  <c:v>44930</c:v>
                </c:pt>
                <c:pt idx="466">
                  <c:v>44931</c:v>
                </c:pt>
                <c:pt idx="467">
                  <c:v>44932</c:v>
                </c:pt>
                <c:pt idx="468">
                  <c:v>44935</c:v>
                </c:pt>
                <c:pt idx="469">
                  <c:v>44936</c:v>
                </c:pt>
                <c:pt idx="470">
                  <c:v>44937</c:v>
                </c:pt>
                <c:pt idx="471">
                  <c:v>44938</c:v>
                </c:pt>
                <c:pt idx="472">
                  <c:v>44939</c:v>
                </c:pt>
                <c:pt idx="473">
                  <c:v>44943</c:v>
                </c:pt>
                <c:pt idx="474">
                  <c:v>44944</c:v>
                </c:pt>
                <c:pt idx="475">
                  <c:v>44945</c:v>
                </c:pt>
                <c:pt idx="476">
                  <c:v>44946</c:v>
                </c:pt>
                <c:pt idx="477">
                  <c:v>44949</c:v>
                </c:pt>
                <c:pt idx="478">
                  <c:v>44950</c:v>
                </c:pt>
                <c:pt idx="479">
                  <c:v>44951</c:v>
                </c:pt>
                <c:pt idx="480">
                  <c:v>44952</c:v>
                </c:pt>
                <c:pt idx="481">
                  <c:v>44953</c:v>
                </c:pt>
                <c:pt idx="482">
                  <c:v>44956</c:v>
                </c:pt>
                <c:pt idx="483">
                  <c:v>44957</c:v>
                </c:pt>
                <c:pt idx="484">
                  <c:v>44958</c:v>
                </c:pt>
                <c:pt idx="485">
                  <c:v>44959</c:v>
                </c:pt>
                <c:pt idx="486">
                  <c:v>44960</c:v>
                </c:pt>
                <c:pt idx="487">
                  <c:v>44963</c:v>
                </c:pt>
                <c:pt idx="488">
                  <c:v>44964</c:v>
                </c:pt>
                <c:pt idx="489">
                  <c:v>44965</c:v>
                </c:pt>
                <c:pt idx="490">
                  <c:v>44966</c:v>
                </c:pt>
                <c:pt idx="491">
                  <c:v>44967</c:v>
                </c:pt>
                <c:pt idx="492">
                  <c:v>44970</c:v>
                </c:pt>
                <c:pt idx="493">
                  <c:v>44971</c:v>
                </c:pt>
                <c:pt idx="494">
                  <c:v>44972</c:v>
                </c:pt>
                <c:pt idx="495">
                  <c:v>44973</c:v>
                </c:pt>
                <c:pt idx="496">
                  <c:v>44974</c:v>
                </c:pt>
                <c:pt idx="497">
                  <c:v>44978</c:v>
                </c:pt>
                <c:pt idx="498">
                  <c:v>44979</c:v>
                </c:pt>
                <c:pt idx="499">
                  <c:v>44980</c:v>
                </c:pt>
                <c:pt idx="500">
                  <c:v>44981</c:v>
                </c:pt>
                <c:pt idx="501">
                  <c:v>44984</c:v>
                </c:pt>
                <c:pt idx="502">
                  <c:v>44985</c:v>
                </c:pt>
                <c:pt idx="503">
                  <c:v>44986</c:v>
                </c:pt>
                <c:pt idx="504">
                  <c:v>44987</c:v>
                </c:pt>
                <c:pt idx="505">
                  <c:v>44988</c:v>
                </c:pt>
                <c:pt idx="506">
                  <c:v>44991</c:v>
                </c:pt>
                <c:pt idx="507">
                  <c:v>44992</c:v>
                </c:pt>
                <c:pt idx="508">
                  <c:v>44993</c:v>
                </c:pt>
                <c:pt idx="509">
                  <c:v>44994</c:v>
                </c:pt>
                <c:pt idx="510">
                  <c:v>44995</c:v>
                </c:pt>
                <c:pt idx="511">
                  <c:v>44998</c:v>
                </c:pt>
                <c:pt idx="512">
                  <c:v>44999</c:v>
                </c:pt>
                <c:pt idx="513">
                  <c:v>45000</c:v>
                </c:pt>
                <c:pt idx="514">
                  <c:v>45001</c:v>
                </c:pt>
                <c:pt idx="515">
                  <c:v>45002</c:v>
                </c:pt>
                <c:pt idx="516">
                  <c:v>45005</c:v>
                </c:pt>
                <c:pt idx="517">
                  <c:v>45006</c:v>
                </c:pt>
                <c:pt idx="518">
                  <c:v>45007</c:v>
                </c:pt>
                <c:pt idx="519">
                  <c:v>45008</c:v>
                </c:pt>
                <c:pt idx="520">
                  <c:v>45009</c:v>
                </c:pt>
                <c:pt idx="521">
                  <c:v>45012</c:v>
                </c:pt>
                <c:pt idx="522">
                  <c:v>45013</c:v>
                </c:pt>
                <c:pt idx="523">
                  <c:v>45014</c:v>
                </c:pt>
                <c:pt idx="524">
                  <c:v>45015</c:v>
                </c:pt>
                <c:pt idx="525">
                  <c:v>45016</c:v>
                </c:pt>
                <c:pt idx="526">
                  <c:v>45019</c:v>
                </c:pt>
                <c:pt idx="527">
                  <c:v>45020</c:v>
                </c:pt>
                <c:pt idx="528">
                  <c:v>45021</c:v>
                </c:pt>
                <c:pt idx="529">
                  <c:v>45022</c:v>
                </c:pt>
                <c:pt idx="530">
                  <c:v>45026</c:v>
                </c:pt>
                <c:pt idx="531">
                  <c:v>45027</c:v>
                </c:pt>
                <c:pt idx="532">
                  <c:v>45028</c:v>
                </c:pt>
                <c:pt idx="533">
                  <c:v>45029</c:v>
                </c:pt>
                <c:pt idx="534">
                  <c:v>45030</c:v>
                </c:pt>
                <c:pt idx="535">
                  <c:v>45033</c:v>
                </c:pt>
                <c:pt idx="536">
                  <c:v>45034</c:v>
                </c:pt>
                <c:pt idx="537">
                  <c:v>45035</c:v>
                </c:pt>
                <c:pt idx="538">
                  <c:v>45036</c:v>
                </c:pt>
                <c:pt idx="539">
                  <c:v>45037</c:v>
                </c:pt>
                <c:pt idx="540">
                  <c:v>45040</c:v>
                </c:pt>
                <c:pt idx="541">
                  <c:v>45041</c:v>
                </c:pt>
                <c:pt idx="542">
                  <c:v>45042</c:v>
                </c:pt>
                <c:pt idx="543">
                  <c:v>45043</c:v>
                </c:pt>
                <c:pt idx="544">
                  <c:v>45044</c:v>
                </c:pt>
                <c:pt idx="545">
                  <c:v>45047</c:v>
                </c:pt>
                <c:pt idx="546">
                  <c:v>45048</c:v>
                </c:pt>
                <c:pt idx="547">
                  <c:v>45049</c:v>
                </c:pt>
                <c:pt idx="548">
                  <c:v>45050</c:v>
                </c:pt>
                <c:pt idx="549">
                  <c:v>45051</c:v>
                </c:pt>
                <c:pt idx="550">
                  <c:v>45054</c:v>
                </c:pt>
                <c:pt idx="551">
                  <c:v>45055</c:v>
                </c:pt>
                <c:pt idx="552">
                  <c:v>45056</c:v>
                </c:pt>
                <c:pt idx="553">
                  <c:v>45057</c:v>
                </c:pt>
                <c:pt idx="554">
                  <c:v>45058</c:v>
                </c:pt>
                <c:pt idx="555">
                  <c:v>45061</c:v>
                </c:pt>
                <c:pt idx="556">
                  <c:v>45062</c:v>
                </c:pt>
                <c:pt idx="557">
                  <c:v>45063</c:v>
                </c:pt>
                <c:pt idx="558">
                  <c:v>45064</c:v>
                </c:pt>
                <c:pt idx="559">
                  <c:v>45065</c:v>
                </c:pt>
                <c:pt idx="560">
                  <c:v>45068</c:v>
                </c:pt>
                <c:pt idx="561">
                  <c:v>45069</c:v>
                </c:pt>
                <c:pt idx="562">
                  <c:v>45070</c:v>
                </c:pt>
                <c:pt idx="563">
                  <c:v>45071</c:v>
                </c:pt>
                <c:pt idx="564">
                  <c:v>45072</c:v>
                </c:pt>
                <c:pt idx="565">
                  <c:v>45076</c:v>
                </c:pt>
                <c:pt idx="566">
                  <c:v>45077</c:v>
                </c:pt>
                <c:pt idx="567">
                  <c:v>45078</c:v>
                </c:pt>
                <c:pt idx="568">
                  <c:v>45079</c:v>
                </c:pt>
                <c:pt idx="569">
                  <c:v>45082</c:v>
                </c:pt>
                <c:pt idx="570">
                  <c:v>45083</c:v>
                </c:pt>
                <c:pt idx="571">
                  <c:v>45084</c:v>
                </c:pt>
                <c:pt idx="572">
                  <c:v>45085</c:v>
                </c:pt>
                <c:pt idx="573">
                  <c:v>45086</c:v>
                </c:pt>
                <c:pt idx="574">
                  <c:v>45089</c:v>
                </c:pt>
                <c:pt idx="575">
                  <c:v>45090</c:v>
                </c:pt>
                <c:pt idx="576">
                  <c:v>45091</c:v>
                </c:pt>
                <c:pt idx="577">
                  <c:v>45092</c:v>
                </c:pt>
                <c:pt idx="578">
                  <c:v>45093</c:v>
                </c:pt>
                <c:pt idx="579">
                  <c:v>45097</c:v>
                </c:pt>
                <c:pt idx="580">
                  <c:v>45098</c:v>
                </c:pt>
                <c:pt idx="581">
                  <c:v>45099</c:v>
                </c:pt>
                <c:pt idx="582">
                  <c:v>45100</c:v>
                </c:pt>
                <c:pt idx="583">
                  <c:v>45103</c:v>
                </c:pt>
                <c:pt idx="584">
                  <c:v>45104</c:v>
                </c:pt>
                <c:pt idx="585">
                  <c:v>45105</c:v>
                </c:pt>
                <c:pt idx="586">
                  <c:v>45106</c:v>
                </c:pt>
                <c:pt idx="587">
                  <c:v>45107</c:v>
                </c:pt>
                <c:pt idx="588">
                  <c:v>45110</c:v>
                </c:pt>
                <c:pt idx="589">
                  <c:v>45112</c:v>
                </c:pt>
                <c:pt idx="590">
                  <c:v>45113</c:v>
                </c:pt>
                <c:pt idx="591">
                  <c:v>45114</c:v>
                </c:pt>
                <c:pt idx="592">
                  <c:v>45117</c:v>
                </c:pt>
                <c:pt idx="593">
                  <c:v>45118</c:v>
                </c:pt>
                <c:pt idx="594">
                  <c:v>45119</c:v>
                </c:pt>
                <c:pt idx="595">
                  <c:v>45120</c:v>
                </c:pt>
                <c:pt idx="596">
                  <c:v>45121</c:v>
                </c:pt>
                <c:pt idx="597">
                  <c:v>45124</c:v>
                </c:pt>
                <c:pt idx="598">
                  <c:v>45125</c:v>
                </c:pt>
                <c:pt idx="599">
                  <c:v>45126</c:v>
                </c:pt>
                <c:pt idx="600">
                  <c:v>45127</c:v>
                </c:pt>
                <c:pt idx="601">
                  <c:v>45128</c:v>
                </c:pt>
                <c:pt idx="602">
                  <c:v>45131</c:v>
                </c:pt>
                <c:pt idx="603">
                  <c:v>45132</c:v>
                </c:pt>
                <c:pt idx="604">
                  <c:v>45133</c:v>
                </c:pt>
                <c:pt idx="605">
                  <c:v>45134</c:v>
                </c:pt>
                <c:pt idx="606">
                  <c:v>45135</c:v>
                </c:pt>
                <c:pt idx="607">
                  <c:v>45138</c:v>
                </c:pt>
                <c:pt idx="608">
                  <c:v>45139</c:v>
                </c:pt>
                <c:pt idx="609">
                  <c:v>45140</c:v>
                </c:pt>
                <c:pt idx="610">
                  <c:v>45141</c:v>
                </c:pt>
                <c:pt idx="611">
                  <c:v>45142</c:v>
                </c:pt>
                <c:pt idx="612">
                  <c:v>45145</c:v>
                </c:pt>
                <c:pt idx="613">
                  <c:v>45146</c:v>
                </c:pt>
                <c:pt idx="614">
                  <c:v>45147</c:v>
                </c:pt>
                <c:pt idx="615">
                  <c:v>45148</c:v>
                </c:pt>
                <c:pt idx="616">
                  <c:v>45149</c:v>
                </c:pt>
                <c:pt idx="617">
                  <c:v>45152</c:v>
                </c:pt>
                <c:pt idx="618">
                  <c:v>45153</c:v>
                </c:pt>
                <c:pt idx="619">
                  <c:v>45154</c:v>
                </c:pt>
                <c:pt idx="620">
                  <c:v>45155</c:v>
                </c:pt>
                <c:pt idx="621">
                  <c:v>45156</c:v>
                </c:pt>
                <c:pt idx="622">
                  <c:v>45159</c:v>
                </c:pt>
                <c:pt idx="623">
                  <c:v>45160</c:v>
                </c:pt>
                <c:pt idx="624">
                  <c:v>45161</c:v>
                </c:pt>
                <c:pt idx="625">
                  <c:v>45162</c:v>
                </c:pt>
                <c:pt idx="626">
                  <c:v>45163</c:v>
                </c:pt>
                <c:pt idx="627">
                  <c:v>45166</c:v>
                </c:pt>
                <c:pt idx="628">
                  <c:v>45167</c:v>
                </c:pt>
                <c:pt idx="629">
                  <c:v>45168</c:v>
                </c:pt>
                <c:pt idx="630">
                  <c:v>45169</c:v>
                </c:pt>
                <c:pt idx="631">
                  <c:v>45170</c:v>
                </c:pt>
                <c:pt idx="632">
                  <c:v>45174</c:v>
                </c:pt>
                <c:pt idx="633">
                  <c:v>45175</c:v>
                </c:pt>
                <c:pt idx="634">
                  <c:v>45176</c:v>
                </c:pt>
                <c:pt idx="635">
                  <c:v>45177</c:v>
                </c:pt>
                <c:pt idx="636">
                  <c:v>45180</c:v>
                </c:pt>
                <c:pt idx="637">
                  <c:v>45181</c:v>
                </c:pt>
                <c:pt idx="638">
                  <c:v>45182</c:v>
                </c:pt>
                <c:pt idx="639">
                  <c:v>45183</c:v>
                </c:pt>
                <c:pt idx="640">
                  <c:v>45184</c:v>
                </c:pt>
                <c:pt idx="641">
                  <c:v>45187</c:v>
                </c:pt>
                <c:pt idx="642">
                  <c:v>45188</c:v>
                </c:pt>
                <c:pt idx="643">
                  <c:v>45189</c:v>
                </c:pt>
                <c:pt idx="644">
                  <c:v>45190</c:v>
                </c:pt>
                <c:pt idx="645">
                  <c:v>45191</c:v>
                </c:pt>
                <c:pt idx="646">
                  <c:v>45194</c:v>
                </c:pt>
                <c:pt idx="647">
                  <c:v>45195</c:v>
                </c:pt>
                <c:pt idx="648">
                  <c:v>45196</c:v>
                </c:pt>
                <c:pt idx="649">
                  <c:v>45197</c:v>
                </c:pt>
                <c:pt idx="650">
                  <c:v>45198</c:v>
                </c:pt>
                <c:pt idx="651">
                  <c:v>45201</c:v>
                </c:pt>
                <c:pt idx="652">
                  <c:v>45202</c:v>
                </c:pt>
                <c:pt idx="653">
                  <c:v>45203</c:v>
                </c:pt>
                <c:pt idx="654">
                  <c:v>45204</c:v>
                </c:pt>
                <c:pt idx="655">
                  <c:v>45205</c:v>
                </c:pt>
                <c:pt idx="656">
                  <c:v>45208</c:v>
                </c:pt>
                <c:pt idx="657">
                  <c:v>45209</c:v>
                </c:pt>
                <c:pt idx="658">
                  <c:v>45210</c:v>
                </c:pt>
                <c:pt idx="659">
                  <c:v>45211</c:v>
                </c:pt>
                <c:pt idx="660">
                  <c:v>45212</c:v>
                </c:pt>
                <c:pt idx="661">
                  <c:v>45215</c:v>
                </c:pt>
                <c:pt idx="662">
                  <c:v>45216</c:v>
                </c:pt>
                <c:pt idx="663">
                  <c:v>45217</c:v>
                </c:pt>
                <c:pt idx="664">
                  <c:v>45218</c:v>
                </c:pt>
                <c:pt idx="665">
                  <c:v>45219</c:v>
                </c:pt>
                <c:pt idx="666">
                  <c:v>45222</c:v>
                </c:pt>
                <c:pt idx="667">
                  <c:v>45223</c:v>
                </c:pt>
                <c:pt idx="668">
                  <c:v>45224</c:v>
                </c:pt>
                <c:pt idx="669">
                  <c:v>45225</c:v>
                </c:pt>
                <c:pt idx="670">
                  <c:v>45226</c:v>
                </c:pt>
                <c:pt idx="671">
                  <c:v>45229</c:v>
                </c:pt>
                <c:pt idx="672">
                  <c:v>45230</c:v>
                </c:pt>
                <c:pt idx="673">
                  <c:v>45231</c:v>
                </c:pt>
                <c:pt idx="674">
                  <c:v>45232</c:v>
                </c:pt>
                <c:pt idx="675">
                  <c:v>45233</c:v>
                </c:pt>
                <c:pt idx="676">
                  <c:v>45236</c:v>
                </c:pt>
                <c:pt idx="677">
                  <c:v>45237</c:v>
                </c:pt>
                <c:pt idx="678">
                  <c:v>45238</c:v>
                </c:pt>
                <c:pt idx="679">
                  <c:v>45239</c:v>
                </c:pt>
                <c:pt idx="680">
                  <c:v>45240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45250</c:v>
                </c:pt>
                <c:pt idx="687">
                  <c:v>45251</c:v>
                </c:pt>
                <c:pt idx="688">
                  <c:v>45252</c:v>
                </c:pt>
                <c:pt idx="689">
                  <c:v>45254</c:v>
                </c:pt>
                <c:pt idx="690">
                  <c:v>45257</c:v>
                </c:pt>
                <c:pt idx="691">
                  <c:v>45258</c:v>
                </c:pt>
                <c:pt idx="692">
                  <c:v>45259</c:v>
                </c:pt>
                <c:pt idx="693">
                  <c:v>45260</c:v>
                </c:pt>
                <c:pt idx="694">
                  <c:v>45261</c:v>
                </c:pt>
                <c:pt idx="695">
                  <c:v>45264</c:v>
                </c:pt>
                <c:pt idx="696">
                  <c:v>45265</c:v>
                </c:pt>
                <c:pt idx="697">
                  <c:v>45266</c:v>
                </c:pt>
                <c:pt idx="698">
                  <c:v>45267</c:v>
                </c:pt>
                <c:pt idx="699">
                  <c:v>45268</c:v>
                </c:pt>
                <c:pt idx="700">
                  <c:v>45271</c:v>
                </c:pt>
                <c:pt idx="701">
                  <c:v>45272</c:v>
                </c:pt>
                <c:pt idx="702">
                  <c:v>45273</c:v>
                </c:pt>
                <c:pt idx="703">
                  <c:v>45274</c:v>
                </c:pt>
                <c:pt idx="704">
                  <c:v>45275</c:v>
                </c:pt>
                <c:pt idx="705">
                  <c:v>45278</c:v>
                </c:pt>
                <c:pt idx="706">
                  <c:v>45279</c:v>
                </c:pt>
                <c:pt idx="707">
                  <c:v>45280</c:v>
                </c:pt>
                <c:pt idx="708">
                  <c:v>45281</c:v>
                </c:pt>
                <c:pt idx="709">
                  <c:v>45282</c:v>
                </c:pt>
                <c:pt idx="710">
                  <c:v>45286</c:v>
                </c:pt>
                <c:pt idx="711">
                  <c:v>45287</c:v>
                </c:pt>
                <c:pt idx="712">
                  <c:v>45288</c:v>
                </c:pt>
                <c:pt idx="713">
                  <c:v>45289</c:v>
                </c:pt>
                <c:pt idx="714">
                  <c:v>45293</c:v>
                </c:pt>
                <c:pt idx="715">
                  <c:v>45294</c:v>
                </c:pt>
                <c:pt idx="716">
                  <c:v>45295</c:v>
                </c:pt>
                <c:pt idx="717">
                  <c:v>45296</c:v>
                </c:pt>
                <c:pt idx="718">
                  <c:v>45299</c:v>
                </c:pt>
                <c:pt idx="719">
                  <c:v>45300</c:v>
                </c:pt>
                <c:pt idx="720">
                  <c:v>45301</c:v>
                </c:pt>
                <c:pt idx="721">
                  <c:v>45302</c:v>
                </c:pt>
                <c:pt idx="722">
                  <c:v>45303</c:v>
                </c:pt>
                <c:pt idx="723">
                  <c:v>45307</c:v>
                </c:pt>
                <c:pt idx="724">
                  <c:v>45308</c:v>
                </c:pt>
                <c:pt idx="725">
                  <c:v>45309</c:v>
                </c:pt>
                <c:pt idx="726">
                  <c:v>45310</c:v>
                </c:pt>
                <c:pt idx="727">
                  <c:v>45313</c:v>
                </c:pt>
                <c:pt idx="728">
                  <c:v>45314</c:v>
                </c:pt>
                <c:pt idx="729">
                  <c:v>45315</c:v>
                </c:pt>
                <c:pt idx="730">
                  <c:v>45316</c:v>
                </c:pt>
                <c:pt idx="731">
                  <c:v>45317</c:v>
                </c:pt>
                <c:pt idx="732">
                  <c:v>45320</c:v>
                </c:pt>
                <c:pt idx="733">
                  <c:v>45321</c:v>
                </c:pt>
                <c:pt idx="734">
                  <c:v>45322</c:v>
                </c:pt>
                <c:pt idx="735">
                  <c:v>45323</c:v>
                </c:pt>
                <c:pt idx="736">
                  <c:v>45324</c:v>
                </c:pt>
                <c:pt idx="737">
                  <c:v>45327</c:v>
                </c:pt>
                <c:pt idx="738">
                  <c:v>45328</c:v>
                </c:pt>
                <c:pt idx="739">
                  <c:v>45329</c:v>
                </c:pt>
                <c:pt idx="740">
                  <c:v>45330</c:v>
                </c:pt>
                <c:pt idx="741">
                  <c:v>45331</c:v>
                </c:pt>
                <c:pt idx="742">
                  <c:v>45334</c:v>
                </c:pt>
                <c:pt idx="743">
                  <c:v>45335</c:v>
                </c:pt>
                <c:pt idx="744">
                  <c:v>45336</c:v>
                </c:pt>
                <c:pt idx="745">
                  <c:v>45337</c:v>
                </c:pt>
                <c:pt idx="746">
                  <c:v>45338</c:v>
                </c:pt>
                <c:pt idx="747">
                  <c:v>45342</c:v>
                </c:pt>
                <c:pt idx="748">
                  <c:v>45343</c:v>
                </c:pt>
                <c:pt idx="749">
                  <c:v>45344</c:v>
                </c:pt>
                <c:pt idx="750">
                  <c:v>45345</c:v>
                </c:pt>
                <c:pt idx="751">
                  <c:v>45348</c:v>
                </c:pt>
                <c:pt idx="752">
                  <c:v>45349</c:v>
                </c:pt>
                <c:pt idx="753">
                  <c:v>45350</c:v>
                </c:pt>
                <c:pt idx="754">
                  <c:v>45351</c:v>
                </c:pt>
                <c:pt idx="755">
                  <c:v>45352</c:v>
                </c:pt>
                <c:pt idx="756">
                  <c:v>45355</c:v>
                </c:pt>
                <c:pt idx="757">
                  <c:v>45356</c:v>
                </c:pt>
                <c:pt idx="758">
                  <c:v>45357</c:v>
                </c:pt>
                <c:pt idx="759">
                  <c:v>45358</c:v>
                </c:pt>
                <c:pt idx="760">
                  <c:v>45359</c:v>
                </c:pt>
                <c:pt idx="761">
                  <c:v>45362</c:v>
                </c:pt>
                <c:pt idx="762">
                  <c:v>45363</c:v>
                </c:pt>
                <c:pt idx="763">
                  <c:v>45364</c:v>
                </c:pt>
                <c:pt idx="764">
                  <c:v>45365</c:v>
                </c:pt>
                <c:pt idx="765">
                  <c:v>45366</c:v>
                </c:pt>
                <c:pt idx="766">
                  <c:v>45369</c:v>
                </c:pt>
                <c:pt idx="767">
                  <c:v>45370</c:v>
                </c:pt>
                <c:pt idx="768">
                  <c:v>45371</c:v>
                </c:pt>
                <c:pt idx="769">
                  <c:v>45372</c:v>
                </c:pt>
                <c:pt idx="770">
                  <c:v>45373</c:v>
                </c:pt>
                <c:pt idx="771">
                  <c:v>45376</c:v>
                </c:pt>
                <c:pt idx="772">
                  <c:v>45377</c:v>
                </c:pt>
                <c:pt idx="773">
                  <c:v>45378</c:v>
                </c:pt>
                <c:pt idx="774">
                  <c:v>45379</c:v>
                </c:pt>
                <c:pt idx="775">
                  <c:v>45383</c:v>
                </c:pt>
                <c:pt idx="776">
                  <c:v>45384</c:v>
                </c:pt>
                <c:pt idx="777">
                  <c:v>45385</c:v>
                </c:pt>
                <c:pt idx="778">
                  <c:v>45386</c:v>
                </c:pt>
                <c:pt idx="779">
                  <c:v>45387</c:v>
                </c:pt>
                <c:pt idx="780">
                  <c:v>45390</c:v>
                </c:pt>
                <c:pt idx="781">
                  <c:v>45391</c:v>
                </c:pt>
                <c:pt idx="782">
                  <c:v>45392</c:v>
                </c:pt>
                <c:pt idx="783">
                  <c:v>45393</c:v>
                </c:pt>
                <c:pt idx="784">
                  <c:v>45394</c:v>
                </c:pt>
                <c:pt idx="785">
                  <c:v>45397</c:v>
                </c:pt>
                <c:pt idx="786">
                  <c:v>45398</c:v>
                </c:pt>
                <c:pt idx="787">
                  <c:v>45399</c:v>
                </c:pt>
                <c:pt idx="788">
                  <c:v>45400</c:v>
                </c:pt>
                <c:pt idx="789">
                  <c:v>45401</c:v>
                </c:pt>
                <c:pt idx="790">
                  <c:v>45404</c:v>
                </c:pt>
                <c:pt idx="791">
                  <c:v>45405</c:v>
                </c:pt>
                <c:pt idx="792">
                  <c:v>45406</c:v>
                </c:pt>
                <c:pt idx="793">
                  <c:v>45407</c:v>
                </c:pt>
                <c:pt idx="794">
                  <c:v>45408</c:v>
                </c:pt>
                <c:pt idx="795">
                  <c:v>45411</c:v>
                </c:pt>
                <c:pt idx="796">
                  <c:v>45412</c:v>
                </c:pt>
                <c:pt idx="797">
                  <c:v>45413</c:v>
                </c:pt>
                <c:pt idx="798">
                  <c:v>45414</c:v>
                </c:pt>
                <c:pt idx="799">
                  <c:v>45415</c:v>
                </c:pt>
                <c:pt idx="800">
                  <c:v>45418</c:v>
                </c:pt>
                <c:pt idx="801">
                  <c:v>45419</c:v>
                </c:pt>
                <c:pt idx="802">
                  <c:v>45420</c:v>
                </c:pt>
                <c:pt idx="803">
                  <c:v>45421</c:v>
                </c:pt>
                <c:pt idx="804">
                  <c:v>45422</c:v>
                </c:pt>
                <c:pt idx="805">
                  <c:v>45425</c:v>
                </c:pt>
                <c:pt idx="806">
                  <c:v>45426</c:v>
                </c:pt>
                <c:pt idx="807">
                  <c:v>45427</c:v>
                </c:pt>
                <c:pt idx="808">
                  <c:v>45428</c:v>
                </c:pt>
                <c:pt idx="809">
                  <c:v>45429</c:v>
                </c:pt>
                <c:pt idx="810">
                  <c:v>45432</c:v>
                </c:pt>
                <c:pt idx="811">
                  <c:v>45433</c:v>
                </c:pt>
                <c:pt idx="812">
                  <c:v>45434</c:v>
                </c:pt>
                <c:pt idx="813">
                  <c:v>45435</c:v>
                </c:pt>
                <c:pt idx="814">
                  <c:v>45436</c:v>
                </c:pt>
                <c:pt idx="815">
                  <c:v>45440</c:v>
                </c:pt>
                <c:pt idx="816">
                  <c:v>45441</c:v>
                </c:pt>
                <c:pt idx="817">
                  <c:v>45442</c:v>
                </c:pt>
                <c:pt idx="818">
                  <c:v>45443</c:v>
                </c:pt>
                <c:pt idx="819">
                  <c:v>45446</c:v>
                </c:pt>
                <c:pt idx="820">
                  <c:v>45447</c:v>
                </c:pt>
                <c:pt idx="821">
                  <c:v>45448</c:v>
                </c:pt>
                <c:pt idx="822">
                  <c:v>45449</c:v>
                </c:pt>
                <c:pt idx="823">
                  <c:v>45450</c:v>
                </c:pt>
                <c:pt idx="824">
                  <c:v>45453</c:v>
                </c:pt>
                <c:pt idx="825">
                  <c:v>45454</c:v>
                </c:pt>
                <c:pt idx="826">
                  <c:v>45455</c:v>
                </c:pt>
                <c:pt idx="827">
                  <c:v>45456</c:v>
                </c:pt>
                <c:pt idx="828">
                  <c:v>45457</c:v>
                </c:pt>
                <c:pt idx="829">
                  <c:v>45460</c:v>
                </c:pt>
                <c:pt idx="830">
                  <c:v>45461</c:v>
                </c:pt>
                <c:pt idx="831">
                  <c:v>45463</c:v>
                </c:pt>
                <c:pt idx="832">
                  <c:v>45464</c:v>
                </c:pt>
                <c:pt idx="833">
                  <c:v>45467</c:v>
                </c:pt>
                <c:pt idx="834">
                  <c:v>45468</c:v>
                </c:pt>
                <c:pt idx="835">
                  <c:v>45469</c:v>
                </c:pt>
                <c:pt idx="836">
                  <c:v>45470</c:v>
                </c:pt>
                <c:pt idx="837">
                  <c:v>45471</c:v>
                </c:pt>
                <c:pt idx="838">
                  <c:v>45474</c:v>
                </c:pt>
                <c:pt idx="839">
                  <c:v>45475</c:v>
                </c:pt>
                <c:pt idx="840">
                  <c:v>45476</c:v>
                </c:pt>
                <c:pt idx="841">
                  <c:v>45478</c:v>
                </c:pt>
                <c:pt idx="842">
                  <c:v>45481</c:v>
                </c:pt>
                <c:pt idx="843">
                  <c:v>45482</c:v>
                </c:pt>
                <c:pt idx="844">
                  <c:v>45483</c:v>
                </c:pt>
                <c:pt idx="845">
                  <c:v>45484</c:v>
                </c:pt>
                <c:pt idx="846">
                  <c:v>45485</c:v>
                </c:pt>
                <c:pt idx="847">
                  <c:v>45488</c:v>
                </c:pt>
                <c:pt idx="848">
                  <c:v>45489</c:v>
                </c:pt>
                <c:pt idx="849">
                  <c:v>45490</c:v>
                </c:pt>
                <c:pt idx="850">
                  <c:v>45491</c:v>
                </c:pt>
                <c:pt idx="851">
                  <c:v>45492</c:v>
                </c:pt>
                <c:pt idx="852">
                  <c:v>45495</c:v>
                </c:pt>
                <c:pt idx="853">
                  <c:v>45496</c:v>
                </c:pt>
                <c:pt idx="854">
                  <c:v>45497</c:v>
                </c:pt>
                <c:pt idx="855">
                  <c:v>45498</c:v>
                </c:pt>
                <c:pt idx="856">
                  <c:v>45499</c:v>
                </c:pt>
                <c:pt idx="857">
                  <c:v>45502</c:v>
                </c:pt>
                <c:pt idx="858">
                  <c:v>45503</c:v>
                </c:pt>
                <c:pt idx="859">
                  <c:v>45504</c:v>
                </c:pt>
                <c:pt idx="860">
                  <c:v>45505</c:v>
                </c:pt>
                <c:pt idx="861">
                  <c:v>45506</c:v>
                </c:pt>
                <c:pt idx="862">
                  <c:v>45509</c:v>
                </c:pt>
                <c:pt idx="863">
                  <c:v>45510</c:v>
                </c:pt>
                <c:pt idx="864">
                  <c:v>45511</c:v>
                </c:pt>
                <c:pt idx="865">
                  <c:v>45512</c:v>
                </c:pt>
                <c:pt idx="866">
                  <c:v>45513</c:v>
                </c:pt>
                <c:pt idx="867">
                  <c:v>45516</c:v>
                </c:pt>
                <c:pt idx="868">
                  <c:v>45517</c:v>
                </c:pt>
                <c:pt idx="869">
                  <c:v>45518</c:v>
                </c:pt>
                <c:pt idx="870">
                  <c:v>45519</c:v>
                </c:pt>
                <c:pt idx="871">
                  <c:v>45520</c:v>
                </c:pt>
                <c:pt idx="872">
                  <c:v>45523</c:v>
                </c:pt>
                <c:pt idx="873">
                  <c:v>45524</c:v>
                </c:pt>
                <c:pt idx="874">
                  <c:v>45525</c:v>
                </c:pt>
                <c:pt idx="875">
                  <c:v>45526</c:v>
                </c:pt>
                <c:pt idx="876">
                  <c:v>45527</c:v>
                </c:pt>
                <c:pt idx="877">
                  <c:v>45530</c:v>
                </c:pt>
                <c:pt idx="878">
                  <c:v>45531</c:v>
                </c:pt>
                <c:pt idx="879">
                  <c:v>45532</c:v>
                </c:pt>
                <c:pt idx="880">
                  <c:v>45533</c:v>
                </c:pt>
                <c:pt idx="881">
                  <c:v>45534</c:v>
                </c:pt>
                <c:pt idx="882">
                  <c:v>45538</c:v>
                </c:pt>
                <c:pt idx="883">
                  <c:v>45539</c:v>
                </c:pt>
                <c:pt idx="884">
                  <c:v>45540</c:v>
                </c:pt>
                <c:pt idx="885">
                  <c:v>45541</c:v>
                </c:pt>
                <c:pt idx="886">
                  <c:v>45544</c:v>
                </c:pt>
                <c:pt idx="887">
                  <c:v>45545</c:v>
                </c:pt>
                <c:pt idx="888">
                  <c:v>45546</c:v>
                </c:pt>
                <c:pt idx="889">
                  <c:v>45547</c:v>
                </c:pt>
                <c:pt idx="890">
                  <c:v>45548</c:v>
                </c:pt>
                <c:pt idx="891">
                  <c:v>45551</c:v>
                </c:pt>
                <c:pt idx="892">
                  <c:v>45552</c:v>
                </c:pt>
                <c:pt idx="893">
                  <c:v>45553</c:v>
                </c:pt>
                <c:pt idx="894">
                  <c:v>45554</c:v>
                </c:pt>
                <c:pt idx="895">
                  <c:v>45555</c:v>
                </c:pt>
                <c:pt idx="896">
                  <c:v>45558</c:v>
                </c:pt>
                <c:pt idx="897">
                  <c:v>45559</c:v>
                </c:pt>
                <c:pt idx="898">
                  <c:v>45560</c:v>
                </c:pt>
                <c:pt idx="899">
                  <c:v>45561</c:v>
                </c:pt>
                <c:pt idx="900">
                  <c:v>45562</c:v>
                </c:pt>
                <c:pt idx="901">
                  <c:v>45565</c:v>
                </c:pt>
                <c:pt idx="902">
                  <c:v>45566</c:v>
                </c:pt>
                <c:pt idx="903">
                  <c:v>45567</c:v>
                </c:pt>
                <c:pt idx="904">
                  <c:v>45568</c:v>
                </c:pt>
                <c:pt idx="905">
                  <c:v>45569</c:v>
                </c:pt>
                <c:pt idx="906">
                  <c:v>45572</c:v>
                </c:pt>
                <c:pt idx="907">
                  <c:v>45573</c:v>
                </c:pt>
                <c:pt idx="908">
                  <c:v>45574</c:v>
                </c:pt>
                <c:pt idx="909">
                  <c:v>45575</c:v>
                </c:pt>
                <c:pt idx="910">
                  <c:v>45576</c:v>
                </c:pt>
                <c:pt idx="911">
                  <c:v>45579</c:v>
                </c:pt>
                <c:pt idx="912">
                  <c:v>45580</c:v>
                </c:pt>
                <c:pt idx="913">
                  <c:v>45581</c:v>
                </c:pt>
                <c:pt idx="914">
                  <c:v>45582</c:v>
                </c:pt>
                <c:pt idx="915">
                  <c:v>45583</c:v>
                </c:pt>
                <c:pt idx="916">
                  <c:v>45586</c:v>
                </c:pt>
                <c:pt idx="917">
                  <c:v>45587</c:v>
                </c:pt>
                <c:pt idx="918">
                  <c:v>45588</c:v>
                </c:pt>
                <c:pt idx="919">
                  <c:v>45589</c:v>
                </c:pt>
                <c:pt idx="920">
                  <c:v>45590</c:v>
                </c:pt>
                <c:pt idx="921">
                  <c:v>45593</c:v>
                </c:pt>
                <c:pt idx="922">
                  <c:v>45594</c:v>
                </c:pt>
                <c:pt idx="923">
                  <c:v>45595</c:v>
                </c:pt>
                <c:pt idx="924">
                  <c:v>45596</c:v>
                </c:pt>
                <c:pt idx="925">
                  <c:v>45597</c:v>
                </c:pt>
                <c:pt idx="926">
                  <c:v>45600</c:v>
                </c:pt>
                <c:pt idx="927">
                  <c:v>45601</c:v>
                </c:pt>
                <c:pt idx="928">
                  <c:v>45602</c:v>
                </c:pt>
                <c:pt idx="929">
                  <c:v>45603</c:v>
                </c:pt>
                <c:pt idx="930">
                  <c:v>45604</c:v>
                </c:pt>
                <c:pt idx="931">
                  <c:v>45607</c:v>
                </c:pt>
                <c:pt idx="932">
                  <c:v>45608</c:v>
                </c:pt>
                <c:pt idx="933">
                  <c:v>45609</c:v>
                </c:pt>
                <c:pt idx="934">
                  <c:v>45610</c:v>
                </c:pt>
                <c:pt idx="935">
                  <c:v>45611</c:v>
                </c:pt>
                <c:pt idx="936">
                  <c:v>45614</c:v>
                </c:pt>
                <c:pt idx="937">
                  <c:v>45615</c:v>
                </c:pt>
                <c:pt idx="938">
                  <c:v>45616</c:v>
                </c:pt>
                <c:pt idx="939">
                  <c:v>45617</c:v>
                </c:pt>
                <c:pt idx="940">
                  <c:v>45618</c:v>
                </c:pt>
                <c:pt idx="941">
                  <c:v>45621</c:v>
                </c:pt>
                <c:pt idx="942">
                  <c:v>45622</c:v>
                </c:pt>
                <c:pt idx="943">
                  <c:v>45623</c:v>
                </c:pt>
                <c:pt idx="944">
                  <c:v>45625</c:v>
                </c:pt>
                <c:pt idx="945">
                  <c:v>45628</c:v>
                </c:pt>
                <c:pt idx="946">
                  <c:v>45629</c:v>
                </c:pt>
                <c:pt idx="947">
                  <c:v>45630</c:v>
                </c:pt>
                <c:pt idx="948">
                  <c:v>45631</c:v>
                </c:pt>
                <c:pt idx="949">
                  <c:v>45632</c:v>
                </c:pt>
                <c:pt idx="950">
                  <c:v>45635</c:v>
                </c:pt>
                <c:pt idx="951">
                  <c:v>45636</c:v>
                </c:pt>
                <c:pt idx="952">
                  <c:v>45637</c:v>
                </c:pt>
                <c:pt idx="953">
                  <c:v>45638</c:v>
                </c:pt>
                <c:pt idx="954">
                  <c:v>45639</c:v>
                </c:pt>
                <c:pt idx="955">
                  <c:v>45642</c:v>
                </c:pt>
                <c:pt idx="956">
                  <c:v>45643</c:v>
                </c:pt>
                <c:pt idx="957">
                  <c:v>45644</c:v>
                </c:pt>
                <c:pt idx="958">
                  <c:v>45645</c:v>
                </c:pt>
                <c:pt idx="959">
                  <c:v>45646</c:v>
                </c:pt>
                <c:pt idx="960">
                  <c:v>45649</c:v>
                </c:pt>
                <c:pt idx="961">
                  <c:v>45650</c:v>
                </c:pt>
                <c:pt idx="962">
                  <c:v>45652</c:v>
                </c:pt>
                <c:pt idx="963">
                  <c:v>45653</c:v>
                </c:pt>
                <c:pt idx="964">
                  <c:v>45656</c:v>
                </c:pt>
                <c:pt idx="965">
                  <c:v>45657</c:v>
                </c:pt>
                <c:pt idx="966">
                  <c:v>45659</c:v>
                </c:pt>
                <c:pt idx="967">
                  <c:v>45660</c:v>
                </c:pt>
                <c:pt idx="968">
                  <c:v>45663</c:v>
                </c:pt>
                <c:pt idx="969">
                  <c:v>45664</c:v>
                </c:pt>
                <c:pt idx="970">
                  <c:v>45665</c:v>
                </c:pt>
                <c:pt idx="971">
                  <c:v>45667</c:v>
                </c:pt>
                <c:pt idx="972">
                  <c:v>45670</c:v>
                </c:pt>
                <c:pt idx="973">
                  <c:v>45671</c:v>
                </c:pt>
                <c:pt idx="974">
                  <c:v>45672</c:v>
                </c:pt>
                <c:pt idx="975">
                  <c:v>45673</c:v>
                </c:pt>
                <c:pt idx="976">
                  <c:v>45674</c:v>
                </c:pt>
                <c:pt idx="977">
                  <c:v>45678</c:v>
                </c:pt>
                <c:pt idx="978">
                  <c:v>45679</c:v>
                </c:pt>
                <c:pt idx="979">
                  <c:v>45680</c:v>
                </c:pt>
                <c:pt idx="980">
                  <c:v>45681</c:v>
                </c:pt>
                <c:pt idx="981">
                  <c:v>45684</c:v>
                </c:pt>
                <c:pt idx="982">
                  <c:v>45685</c:v>
                </c:pt>
                <c:pt idx="983">
                  <c:v>45686</c:v>
                </c:pt>
                <c:pt idx="984">
                  <c:v>45687</c:v>
                </c:pt>
                <c:pt idx="985">
                  <c:v>45688</c:v>
                </c:pt>
                <c:pt idx="986">
                  <c:v>45691</c:v>
                </c:pt>
                <c:pt idx="987">
                  <c:v>45692</c:v>
                </c:pt>
                <c:pt idx="988">
                  <c:v>45693</c:v>
                </c:pt>
                <c:pt idx="989">
                  <c:v>45694</c:v>
                </c:pt>
                <c:pt idx="990">
                  <c:v>45695</c:v>
                </c:pt>
                <c:pt idx="991">
                  <c:v>45698</c:v>
                </c:pt>
                <c:pt idx="992">
                  <c:v>45699</c:v>
                </c:pt>
                <c:pt idx="993">
                  <c:v>45700</c:v>
                </c:pt>
                <c:pt idx="994">
                  <c:v>45701</c:v>
                </c:pt>
                <c:pt idx="995">
                  <c:v>45702</c:v>
                </c:pt>
                <c:pt idx="996">
                  <c:v>45706</c:v>
                </c:pt>
                <c:pt idx="997">
                  <c:v>45707</c:v>
                </c:pt>
                <c:pt idx="998">
                  <c:v>45708</c:v>
                </c:pt>
                <c:pt idx="999">
                  <c:v>45709</c:v>
                </c:pt>
                <c:pt idx="1000">
                  <c:v>45712</c:v>
                </c:pt>
                <c:pt idx="1001">
                  <c:v>45713</c:v>
                </c:pt>
                <c:pt idx="1002">
                  <c:v>45714</c:v>
                </c:pt>
                <c:pt idx="1003">
                  <c:v>45715</c:v>
                </c:pt>
                <c:pt idx="1004">
                  <c:v>45716</c:v>
                </c:pt>
                <c:pt idx="1005">
                  <c:v>45719</c:v>
                </c:pt>
                <c:pt idx="1006">
                  <c:v>45720</c:v>
                </c:pt>
                <c:pt idx="1007">
                  <c:v>45721</c:v>
                </c:pt>
                <c:pt idx="1008">
                  <c:v>45722</c:v>
                </c:pt>
                <c:pt idx="1009">
                  <c:v>45723</c:v>
                </c:pt>
                <c:pt idx="1010">
                  <c:v>45726</c:v>
                </c:pt>
                <c:pt idx="1011">
                  <c:v>45727</c:v>
                </c:pt>
                <c:pt idx="1012">
                  <c:v>45728</c:v>
                </c:pt>
                <c:pt idx="1013">
                  <c:v>45729</c:v>
                </c:pt>
                <c:pt idx="1014">
                  <c:v>45730</c:v>
                </c:pt>
                <c:pt idx="1015">
                  <c:v>45733</c:v>
                </c:pt>
                <c:pt idx="1016">
                  <c:v>45734</c:v>
                </c:pt>
                <c:pt idx="1017">
                  <c:v>45735</c:v>
                </c:pt>
                <c:pt idx="1018">
                  <c:v>45736</c:v>
                </c:pt>
                <c:pt idx="1019">
                  <c:v>45737</c:v>
                </c:pt>
                <c:pt idx="1020">
                  <c:v>45740</c:v>
                </c:pt>
                <c:pt idx="1021">
                  <c:v>45741</c:v>
                </c:pt>
                <c:pt idx="1022">
                  <c:v>45742</c:v>
                </c:pt>
                <c:pt idx="1023">
                  <c:v>45743</c:v>
                </c:pt>
                <c:pt idx="1024">
                  <c:v>45744</c:v>
                </c:pt>
                <c:pt idx="1025">
                  <c:v>45747</c:v>
                </c:pt>
                <c:pt idx="1026">
                  <c:v>45748</c:v>
                </c:pt>
                <c:pt idx="1027">
                  <c:v>45749</c:v>
                </c:pt>
                <c:pt idx="1028">
                  <c:v>45750</c:v>
                </c:pt>
                <c:pt idx="1029">
                  <c:v>45751</c:v>
                </c:pt>
                <c:pt idx="1030">
                  <c:v>45754</c:v>
                </c:pt>
                <c:pt idx="1031">
                  <c:v>45755</c:v>
                </c:pt>
                <c:pt idx="1032">
                  <c:v>45756</c:v>
                </c:pt>
                <c:pt idx="1033">
                  <c:v>45757</c:v>
                </c:pt>
                <c:pt idx="1034">
                  <c:v>45758</c:v>
                </c:pt>
                <c:pt idx="1035">
                  <c:v>45761</c:v>
                </c:pt>
                <c:pt idx="1036">
                  <c:v>45762</c:v>
                </c:pt>
                <c:pt idx="1037">
                  <c:v>45763</c:v>
                </c:pt>
                <c:pt idx="1038">
                  <c:v>45764</c:v>
                </c:pt>
                <c:pt idx="1039">
                  <c:v>45768</c:v>
                </c:pt>
                <c:pt idx="1040">
                  <c:v>45769</c:v>
                </c:pt>
                <c:pt idx="1041">
                  <c:v>45770</c:v>
                </c:pt>
                <c:pt idx="1042">
                  <c:v>45771</c:v>
                </c:pt>
                <c:pt idx="1043">
                  <c:v>45772</c:v>
                </c:pt>
                <c:pt idx="1044">
                  <c:v>45775</c:v>
                </c:pt>
                <c:pt idx="1045">
                  <c:v>45776</c:v>
                </c:pt>
                <c:pt idx="1046">
                  <c:v>45777</c:v>
                </c:pt>
                <c:pt idx="1047">
                  <c:v>45778</c:v>
                </c:pt>
                <c:pt idx="1048">
                  <c:v>45779</c:v>
                </c:pt>
                <c:pt idx="1049">
                  <c:v>45782</c:v>
                </c:pt>
                <c:pt idx="1050">
                  <c:v>45783</c:v>
                </c:pt>
                <c:pt idx="1051">
                  <c:v>45784</c:v>
                </c:pt>
                <c:pt idx="1052">
                  <c:v>45785</c:v>
                </c:pt>
                <c:pt idx="1053">
                  <c:v>45786</c:v>
                </c:pt>
                <c:pt idx="1054">
                  <c:v>45789</c:v>
                </c:pt>
                <c:pt idx="1055">
                  <c:v>45790</c:v>
                </c:pt>
                <c:pt idx="1056">
                  <c:v>45791</c:v>
                </c:pt>
                <c:pt idx="1057">
                  <c:v>45792</c:v>
                </c:pt>
                <c:pt idx="1058">
                  <c:v>45793</c:v>
                </c:pt>
                <c:pt idx="1059">
                  <c:v>45796</c:v>
                </c:pt>
                <c:pt idx="1060">
                  <c:v>45797</c:v>
                </c:pt>
                <c:pt idx="1061">
                  <c:v>45798</c:v>
                </c:pt>
                <c:pt idx="1062">
                  <c:v>45799</c:v>
                </c:pt>
                <c:pt idx="1063">
                  <c:v>45800</c:v>
                </c:pt>
                <c:pt idx="1064">
                  <c:v>45804</c:v>
                </c:pt>
                <c:pt idx="1065">
                  <c:v>45805</c:v>
                </c:pt>
                <c:pt idx="1066">
                  <c:v>45806</c:v>
                </c:pt>
                <c:pt idx="1067">
                  <c:v>45807</c:v>
                </c:pt>
                <c:pt idx="1068">
                  <c:v>45810</c:v>
                </c:pt>
                <c:pt idx="1069">
                  <c:v>45811</c:v>
                </c:pt>
                <c:pt idx="1070">
                  <c:v>45812</c:v>
                </c:pt>
                <c:pt idx="1071">
                  <c:v>45813</c:v>
                </c:pt>
                <c:pt idx="1072">
                  <c:v>45814</c:v>
                </c:pt>
                <c:pt idx="1073">
                  <c:v>45817</c:v>
                </c:pt>
                <c:pt idx="1074">
                  <c:v>45818</c:v>
                </c:pt>
                <c:pt idx="1075">
                  <c:v>45819</c:v>
                </c:pt>
                <c:pt idx="1076">
                  <c:v>45820</c:v>
                </c:pt>
                <c:pt idx="1077">
                  <c:v>45821</c:v>
                </c:pt>
                <c:pt idx="1078">
                  <c:v>45824</c:v>
                </c:pt>
                <c:pt idx="1079">
                  <c:v>45825</c:v>
                </c:pt>
                <c:pt idx="1080">
                  <c:v>45826</c:v>
                </c:pt>
                <c:pt idx="1081">
                  <c:v>45828</c:v>
                </c:pt>
                <c:pt idx="1082">
                  <c:v>45831</c:v>
                </c:pt>
                <c:pt idx="1083">
                  <c:v>45832</c:v>
                </c:pt>
                <c:pt idx="1084">
                  <c:v>45833</c:v>
                </c:pt>
                <c:pt idx="1085">
                  <c:v>45834</c:v>
                </c:pt>
                <c:pt idx="1086">
                  <c:v>45835</c:v>
                </c:pt>
                <c:pt idx="1087">
                  <c:v>45838</c:v>
                </c:pt>
                <c:pt idx="1088">
                  <c:v>45839</c:v>
                </c:pt>
                <c:pt idx="1089">
                  <c:v>45840</c:v>
                </c:pt>
                <c:pt idx="1090">
                  <c:v>45841</c:v>
                </c:pt>
                <c:pt idx="1091">
                  <c:v>45845</c:v>
                </c:pt>
                <c:pt idx="1092">
                  <c:v>45846</c:v>
                </c:pt>
                <c:pt idx="1093">
                  <c:v>45847</c:v>
                </c:pt>
                <c:pt idx="1094">
                  <c:v>45848</c:v>
                </c:pt>
                <c:pt idx="1095">
                  <c:v>45849</c:v>
                </c:pt>
                <c:pt idx="1096">
                  <c:v>45852</c:v>
                </c:pt>
                <c:pt idx="1097">
                  <c:v>45853</c:v>
                </c:pt>
                <c:pt idx="1098">
                  <c:v>45854</c:v>
                </c:pt>
                <c:pt idx="1099">
                  <c:v>45855</c:v>
                </c:pt>
                <c:pt idx="1100">
                  <c:v>45856</c:v>
                </c:pt>
                <c:pt idx="1101">
                  <c:v>45859</c:v>
                </c:pt>
                <c:pt idx="1102">
                  <c:v>45860</c:v>
                </c:pt>
                <c:pt idx="1103">
                  <c:v>45861</c:v>
                </c:pt>
                <c:pt idx="1104">
                  <c:v>45862</c:v>
                </c:pt>
                <c:pt idx="1105">
                  <c:v>45863</c:v>
                </c:pt>
                <c:pt idx="1106">
                  <c:v>45866</c:v>
                </c:pt>
                <c:pt idx="1107">
                  <c:v>45867</c:v>
                </c:pt>
                <c:pt idx="1108">
                  <c:v>45868</c:v>
                </c:pt>
                <c:pt idx="1109">
                  <c:v>45869</c:v>
                </c:pt>
                <c:pt idx="1110">
                  <c:v>45870</c:v>
                </c:pt>
                <c:pt idx="1111">
                  <c:v>45873</c:v>
                </c:pt>
                <c:pt idx="1112">
                  <c:v>45874</c:v>
                </c:pt>
                <c:pt idx="1113">
                  <c:v>45875</c:v>
                </c:pt>
                <c:pt idx="1114">
                  <c:v>45876</c:v>
                </c:pt>
                <c:pt idx="1115">
                  <c:v>45877</c:v>
                </c:pt>
                <c:pt idx="1116">
                  <c:v>45880</c:v>
                </c:pt>
                <c:pt idx="1117">
                  <c:v>45881</c:v>
                </c:pt>
                <c:pt idx="1118">
                  <c:v>45882</c:v>
                </c:pt>
                <c:pt idx="1119">
                  <c:v>45883</c:v>
                </c:pt>
                <c:pt idx="1120">
                  <c:v>45884</c:v>
                </c:pt>
                <c:pt idx="1121">
                  <c:v>45887</c:v>
                </c:pt>
                <c:pt idx="1122">
                  <c:v>45888</c:v>
                </c:pt>
                <c:pt idx="1123">
                  <c:v>45889</c:v>
                </c:pt>
                <c:pt idx="1124">
                  <c:v>45890</c:v>
                </c:pt>
                <c:pt idx="1125">
                  <c:v>45891</c:v>
                </c:pt>
                <c:pt idx="1126">
                  <c:v>45894</c:v>
                </c:pt>
                <c:pt idx="1127">
                  <c:v>45895</c:v>
                </c:pt>
                <c:pt idx="1128">
                  <c:v>45896</c:v>
                </c:pt>
                <c:pt idx="1129">
                  <c:v>45897</c:v>
                </c:pt>
                <c:pt idx="1130">
                  <c:v>45898</c:v>
                </c:pt>
                <c:pt idx="1131">
                  <c:v>45902</c:v>
                </c:pt>
                <c:pt idx="1132">
                  <c:v>45903</c:v>
                </c:pt>
                <c:pt idx="1133">
                  <c:v>45904</c:v>
                </c:pt>
                <c:pt idx="1134">
                  <c:v>45905</c:v>
                </c:pt>
                <c:pt idx="1135">
                  <c:v>45908</c:v>
                </c:pt>
                <c:pt idx="1136">
                  <c:v>45909</c:v>
                </c:pt>
                <c:pt idx="1137">
                  <c:v>45910</c:v>
                </c:pt>
                <c:pt idx="1138">
                  <c:v>45911</c:v>
                </c:pt>
                <c:pt idx="1139">
                  <c:v>45912</c:v>
                </c:pt>
                <c:pt idx="1140">
                  <c:v>45915</c:v>
                </c:pt>
                <c:pt idx="1141">
                  <c:v>45916</c:v>
                </c:pt>
                <c:pt idx="1142">
                  <c:v>45917</c:v>
                </c:pt>
                <c:pt idx="1143">
                  <c:v>45918</c:v>
                </c:pt>
                <c:pt idx="1144">
                  <c:v>45919</c:v>
                </c:pt>
                <c:pt idx="1145">
                  <c:v>45922</c:v>
                </c:pt>
                <c:pt idx="1146">
                  <c:v>45923</c:v>
                </c:pt>
                <c:pt idx="1147">
                  <c:v>45924</c:v>
                </c:pt>
                <c:pt idx="1148">
                  <c:v>45925</c:v>
                </c:pt>
                <c:pt idx="1149">
                  <c:v>45926</c:v>
                </c:pt>
                <c:pt idx="1150">
                  <c:v>45929</c:v>
                </c:pt>
                <c:pt idx="1151">
                  <c:v>45930</c:v>
                </c:pt>
                <c:pt idx="1152">
                  <c:v>45931</c:v>
                </c:pt>
                <c:pt idx="1153">
                  <c:v>45932</c:v>
                </c:pt>
                <c:pt idx="1154">
                  <c:v>45933</c:v>
                </c:pt>
                <c:pt idx="1155">
                  <c:v>45936</c:v>
                </c:pt>
                <c:pt idx="1156">
                  <c:v>45937</c:v>
                </c:pt>
                <c:pt idx="1157">
                  <c:v>45938</c:v>
                </c:pt>
                <c:pt idx="1158">
                  <c:v>45939</c:v>
                </c:pt>
                <c:pt idx="1159">
                  <c:v>45940</c:v>
                </c:pt>
                <c:pt idx="1160">
                  <c:v>45943</c:v>
                </c:pt>
                <c:pt idx="1161">
                  <c:v>45944</c:v>
                </c:pt>
                <c:pt idx="1162">
                  <c:v>45945</c:v>
                </c:pt>
                <c:pt idx="1163">
                  <c:v>45946</c:v>
                </c:pt>
                <c:pt idx="1164">
                  <c:v>45947</c:v>
                </c:pt>
                <c:pt idx="1165">
                  <c:v>45950</c:v>
                </c:pt>
                <c:pt idx="1166">
                  <c:v>45951</c:v>
                </c:pt>
                <c:pt idx="1167">
                  <c:v>45952</c:v>
                </c:pt>
                <c:pt idx="1168">
                  <c:v>45953</c:v>
                </c:pt>
                <c:pt idx="1169">
                  <c:v>45954</c:v>
                </c:pt>
                <c:pt idx="1170">
                  <c:v>45957</c:v>
                </c:pt>
                <c:pt idx="1171">
                  <c:v>45958</c:v>
                </c:pt>
                <c:pt idx="1172">
                  <c:v>45959</c:v>
                </c:pt>
                <c:pt idx="1173">
                  <c:v>45960</c:v>
                </c:pt>
                <c:pt idx="1174">
                  <c:v>45961</c:v>
                </c:pt>
                <c:pt idx="1175">
                  <c:v>45964</c:v>
                </c:pt>
                <c:pt idx="1176">
                  <c:v>45965</c:v>
                </c:pt>
                <c:pt idx="1177">
                  <c:v>45966</c:v>
                </c:pt>
                <c:pt idx="1178">
                  <c:v>45967</c:v>
                </c:pt>
                <c:pt idx="1179">
                  <c:v>45968</c:v>
                </c:pt>
                <c:pt idx="1180">
                  <c:v>45971</c:v>
                </c:pt>
                <c:pt idx="1181">
                  <c:v>45972</c:v>
                </c:pt>
                <c:pt idx="1182">
                  <c:v>45973</c:v>
                </c:pt>
                <c:pt idx="1183">
                  <c:v>45974</c:v>
                </c:pt>
                <c:pt idx="1184">
                  <c:v>45975</c:v>
                </c:pt>
                <c:pt idx="1185">
                  <c:v>45978</c:v>
                </c:pt>
                <c:pt idx="1186">
                  <c:v>45979</c:v>
                </c:pt>
                <c:pt idx="1187">
                  <c:v>45980</c:v>
                </c:pt>
                <c:pt idx="1188">
                  <c:v>45981</c:v>
                </c:pt>
                <c:pt idx="1189">
                  <c:v>45982</c:v>
                </c:pt>
                <c:pt idx="1190">
                  <c:v>45985</c:v>
                </c:pt>
                <c:pt idx="1191">
                  <c:v>45986</c:v>
                </c:pt>
                <c:pt idx="1192">
                  <c:v>45987</c:v>
                </c:pt>
                <c:pt idx="1193">
                  <c:v>45989</c:v>
                </c:pt>
                <c:pt idx="1194">
                  <c:v>45992</c:v>
                </c:pt>
                <c:pt idx="1195">
                  <c:v>45993</c:v>
                </c:pt>
                <c:pt idx="1196">
                  <c:v>45994</c:v>
                </c:pt>
                <c:pt idx="1197">
                  <c:v>45995</c:v>
                </c:pt>
                <c:pt idx="1198">
                  <c:v>45996</c:v>
                </c:pt>
                <c:pt idx="1199">
                  <c:v>45999</c:v>
                </c:pt>
                <c:pt idx="1200">
                  <c:v>46000</c:v>
                </c:pt>
                <c:pt idx="1201">
                  <c:v>46001</c:v>
                </c:pt>
                <c:pt idx="1202">
                  <c:v>46002</c:v>
                </c:pt>
                <c:pt idx="1203">
                  <c:v>46003</c:v>
                </c:pt>
                <c:pt idx="1204">
                  <c:v>46006</c:v>
                </c:pt>
                <c:pt idx="1205">
                  <c:v>46007</c:v>
                </c:pt>
                <c:pt idx="1206">
                  <c:v>46008</c:v>
                </c:pt>
                <c:pt idx="1207">
                  <c:v>46009</c:v>
                </c:pt>
                <c:pt idx="1208">
                  <c:v>46010</c:v>
                </c:pt>
                <c:pt idx="1209">
                  <c:v>46013</c:v>
                </c:pt>
                <c:pt idx="1210">
                  <c:v>46014</c:v>
                </c:pt>
                <c:pt idx="1211">
                  <c:v>46015</c:v>
                </c:pt>
                <c:pt idx="1212">
                  <c:v>46017</c:v>
                </c:pt>
                <c:pt idx="1213">
                  <c:v>46020</c:v>
                </c:pt>
                <c:pt idx="1214">
                  <c:v>46021</c:v>
                </c:pt>
                <c:pt idx="1215">
                  <c:v>46022</c:v>
                </c:pt>
                <c:pt idx="1216">
                  <c:v>46024</c:v>
                </c:pt>
                <c:pt idx="1217">
                  <c:v>46027</c:v>
                </c:pt>
                <c:pt idx="1218">
                  <c:v>46028</c:v>
                </c:pt>
                <c:pt idx="1219">
                  <c:v>46029</c:v>
                </c:pt>
                <c:pt idx="1220">
                  <c:v>46030</c:v>
                </c:pt>
                <c:pt idx="1221">
                  <c:v>46031</c:v>
                </c:pt>
                <c:pt idx="1222">
                  <c:v>46034</c:v>
                </c:pt>
                <c:pt idx="1223">
                  <c:v>46035</c:v>
                </c:pt>
                <c:pt idx="1224">
                  <c:v>46036</c:v>
                </c:pt>
                <c:pt idx="1225">
                  <c:v>46037</c:v>
                </c:pt>
                <c:pt idx="1226">
                  <c:v>46038</c:v>
                </c:pt>
                <c:pt idx="1227">
                  <c:v>46042</c:v>
                </c:pt>
                <c:pt idx="1228">
                  <c:v>46043</c:v>
                </c:pt>
                <c:pt idx="1229">
                  <c:v>46044</c:v>
                </c:pt>
                <c:pt idx="1230">
                  <c:v>46045</c:v>
                </c:pt>
                <c:pt idx="1231">
                  <c:v>46048</c:v>
                </c:pt>
                <c:pt idx="1232">
                  <c:v>46049</c:v>
                </c:pt>
                <c:pt idx="1233">
                  <c:v>46050</c:v>
                </c:pt>
                <c:pt idx="1234">
                  <c:v>46051</c:v>
                </c:pt>
                <c:pt idx="1235">
                  <c:v>46052</c:v>
                </c:pt>
                <c:pt idx="1236">
                  <c:v>46055</c:v>
                </c:pt>
                <c:pt idx="1237">
                  <c:v>46056</c:v>
                </c:pt>
                <c:pt idx="1238">
                  <c:v>46057</c:v>
                </c:pt>
                <c:pt idx="1239">
                  <c:v>46058</c:v>
                </c:pt>
                <c:pt idx="1240">
                  <c:v>46059</c:v>
                </c:pt>
                <c:pt idx="1241">
                  <c:v>46062</c:v>
                </c:pt>
                <c:pt idx="1242">
                  <c:v>46063</c:v>
                </c:pt>
                <c:pt idx="1243">
                  <c:v>46064</c:v>
                </c:pt>
                <c:pt idx="1244">
                  <c:v>46065</c:v>
                </c:pt>
                <c:pt idx="1245">
                  <c:v>46066</c:v>
                </c:pt>
                <c:pt idx="1246">
                  <c:v>46070</c:v>
                </c:pt>
                <c:pt idx="1247">
                  <c:v>46071</c:v>
                </c:pt>
                <c:pt idx="1248">
                  <c:v>46072</c:v>
                </c:pt>
                <c:pt idx="1249">
                  <c:v>46073</c:v>
                </c:pt>
                <c:pt idx="1250">
                  <c:v>46076</c:v>
                </c:pt>
                <c:pt idx="1251">
                  <c:v>46077</c:v>
                </c:pt>
                <c:pt idx="1252">
                  <c:v>46078</c:v>
                </c:pt>
                <c:pt idx="1253">
                  <c:v>46079</c:v>
                </c:pt>
                <c:pt idx="1254">
                  <c:v>46080</c:v>
                </c:pt>
              </c:numCache>
            </c:numRef>
          </c:cat>
          <c:val>
            <c:numRef>
              <c:f>Portfolio_Calc!$F$2:$F$1256</c:f>
              <c:numCache>
                <c:formatCode>0.00%</c:formatCode>
                <c:ptCount val="1255"/>
                <c:pt idx="0">
                  <c:v>0</c:v>
                </c:pt>
                <c:pt idx="1">
                  <c:v>-8.2330290706164044E-3</c:v>
                </c:pt>
                <c:pt idx="2">
                  <c:v>-1.8031591424615745E-2</c:v>
                </c:pt>
                <c:pt idx="3">
                  <c:v>-9.3239505131387235E-3</c:v>
                </c:pt>
                <c:pt idx="4">
                  <c:v>-1.7813875721613637E-2</c:v>
                </c:pt>
                <c:pt idx="5">
                  <c:v>-4.2614963286837781E-3</c:v>
                </c:pt>
                <c:pt idx="6">
                  <c:v>2.1495240706537189E-4</c:v>
                </c:pt>
                <c:pt idx="7">
                  <c:v>9.7699059509435138E-3</c:v>
                </c:pt>
                <c:pt idx="8">
                  <c:v>5.819881737847421E-3</c:v>
                </c:pt>
                <c:pt idx="9">
                  <c:v>9.9968384324737869E-3</c:v>
                </c:pt>
                <c:pt idx="10">
                  <c:v>8.2343193098288747E-3</c:v>
                </c:pt>
                <c:pt idx="11">
                  <c:v>1.0228390718848068E-2</c:v>
                </c:pt>
                <c:pt idx="12">
                  <c:v>-6.2890839177860425E-3</c:v>
                </c:pt>
                <c:pt idx="13">
                  <c:v>-2.3426782520243883E-3</c:v>
                </c:pt>
                <c:pt idx="14">
                  <c:v>1.2021979890863843E-3</c:v>
                </c:pt>
                <c:pt idx="15">
                  <c:v>-7.1594263872249986E-3</c:v>
                </c:pt>
                <c:pt idx="16">
                  <c:v>-1.0345878027104627E-2</c:v>
                </c:pt>
                <c:pt idx="17">
                  <c:v>-9.1119264688716006E-3</c:v>
                </c:pt>
                <c:pt idx="18">
                  <c:v>1.7877164487043462E-3</c:v>
                </c:pt>
                <c:pt idx="19">
                  <c:v>-4.0609529497623864E-3</c:v>
                </c:pt>
                <c:pt idx="20">
                  <c:v>-5.3708532870672121E-3</c:v>
                </c:pt>
                <c:pt idx="21">
                  <c:v>-1.3444927039061305E-3</c:v>
                </c:pt>
                <c:pt idx="22">
                  <c:v>1.0339572124864027E-2</c:v>
                </c:pt>
                <c:pt idx="23">
                  <c:v>1.3314653763618844E-2</c:v>
                </c:pt>
                <c:pt idx="24">
                  <c:v>1.5421618952767835E-2</c:v>
                </c:pt>
                <c:pt idx="25">
                  <c:v>1.2528036341009186E-2</c:v>
                </c:pt>
                <c:pt idx="26">
                  <c:v>1.8069858541295281E-2</c:v>
                </c:pt>
                <c:pt idx="27">
                  <c:v>1.6946261691631825E-2</c:v>
                </c:pt>
                <c:pt idx="28">
                  <c:v>1.5399485947493297E-2</c:v>
                </c:pt>
                <c:pt idx="29">
                  <c:v>2.0603802161726525E-2</c:v>
                </c:pt>
                <c:pt idx="30">
                  <c:v>2.12316156753245E-2</c:v>
                </c:pt>
                <c:pt idx="31">
                  <c:v>3.1531686180919616E-2</c:v>
                </c:pt>
                <c:pt idx="32">
                  <c:v>3.1799231588271359E-2</c:v>
                </c:pt>
                <c:pt idx="33">
                  <c:v>2.8336708169404368E-2</c:v>
                </c:pt>
                <c:pt idx="34">
                  <c:v>2.4623328035401792E-2</c:v>
                </c:pt>
                <c:pt idx="35">
                  <c:v>3.1513402471623708E-2</c:v>
                </c:pt>
                <c:pt idx="36">
                  <c:v>2.8789760595238079E-2</c:v>
                </c:pt>
                <c:pt idx="37">
                  <c:v>3.5378489033484506E-2</c:v>
                </c:pt>
                <c:pt idx="38">
                  <c:v>3.7973041852761957E-2</c:v>
                </c:pt>
                <c:pt idx="39">
                  <c:v>3.6279528354876467E-2</c:v>
                </c:pt>
                <c:pt idx="40">
                  <c:v>3.7541986967934982E-2</c:v>
                </c:pt>
                <c:pt idx="41">
                  <c:v>3.846122796774476E-2</c:v>
                </c:pt>
                <c:pt idx="42">
                  <c:v>3.3284886442787709E-2</c:v>
                </c:pt>
                <c:pt idx="43">
                  <c:v>3.6734206942153902E-2</c:v>
                </c:pt>
                <c:pt idx="44">
                  <c:v>3.2204293562291708E-2</c:v>
                </c:pt>
                <c:pt idx="45">
                  <c:v>3.295067488021397E-2</c:v>
                </c:pt>
                <c:pt idx="46">
                  <c:v>3.8538652839807508E-2</c:v>
                </c:pt>
                <c:pt idx="47">
                  <c:v>4.5288815590476261E-2</c:v>
                </c:pt>
                <c:pt idx="48">
                  <c:v>3.5892021768217042E-2</c:v>
                </c:pt>
                <c:pt idx="49">
                  <c:v>3.2170946889836793E-2</c:v>
                </c:pt>
                <c:pt idx="50">
                  <c:v>1.6249345616669464E-2</c:v>
                </c:pt>
                <c:pt idx="51">
                  <c:v>2.0139190299717669E-2</c:v>
                </c:pt>
                <c:pt idx="52">
                  <c:v>3.2559414139973875E-2</c:v>
                </c:pt>
                <c:pt idx="53">
                  <c:v>3.333567419848249E-2</c:v>
                </c:pt>
                <c:pt idx="54">
                  <c:v>3.1757441119135699E-2</c:v>
                </c:pt>
                <c:pt idx="55">
                  <c:v>2.7136101230639698E-2</c:v>
                </c:pt>
                <c:pt idx="56">
                  <c:v>3.4374642880116602E-2</c:v>
                </c:pt>
                <c:pt idx="57">
                  <c:v>3.4436154747618186E-2</c:v>
                </c:pt>
                <c:pt idx="58">
                  <c:v>4.1718171718825525E-2</c:v>
                </c:pt>
                <c:pt idx="59">
                  <c:v>4.3621437459777423E-2</c:v>
                </c:pt>
                <c:pt idx="60">
                  <c:v>4.642089094118762E-2</c:v>
                </c:pt>
                <c:pt idx="61">
                  <c:v>4.7619130922212927E-2</c:v>
                </c:pt>
                <c:pt idx="62">
                  <c:v>4.923163343875725E-2</c:v>
                </c:pt>
                <c:pt idx="63">
                  <c:v>5.5101045543868077E-2</c:v>
                </c:pt>
                <c:pt idx="64">
                  <c:v>5.8427508851642385E-2</c:v>
                </c:pt>
                <c:pt idx="65">
                  <c:v>5.1188441909992166E-2</c:v>
                </c:pt>
                <c:pt idx="66">
                  <c:v>5.9848515986176354E-2</c:v>
                </c:pt>
                <c:pt idx="67">
                  <c:v>6.2211979917673021E-2</c:v>
                </c:pt>
                <c:pt idx="68">
                  <c:v>6.5350937032490508E-2</c:v>
                </c:pt>
                <c:pt idx="69">
                  <c:v>6.5143192477998157E-2</c:v>
                </c:pt>
                <c:pt idx="70">
                  <c:v>6.9529218169735785E-2</c:v>
                </c:pt>
                <c:pt idx="71">
                  <c:v>6.8948804486852255E-2</c:v>
                </c:pt>
                <c:pt idx="72">
                  <c:v>6.8084095870565076E-2</c:v>
                </c:pt>
                <c:pt idx="73">
                  <c:v>6.4887622902624509E-2</c:v>
                </c:pt>
                <c:pt idx="74">
                  <c:v>5.847578555136157E-2</c:v>
                </c:pt>
                <c:pt idx="75">
                  <c:v>5.5533701711572681E-2</c:v>
                </c:pt>
                <c:pt idx="76">
                  <c:v>5.0722969081373304E-2</c:v>
                </c:pt>
                <c:pt idx="77">
                  <c:v>5.7788728143412182E-2</c:v>
                </c:pt>
                <c:pt idx="78">
                  <c:v>5.898251294487844E-2</c:v>
                </c:pt>
                <c:pt idx="79">
                  <c:v>5.8897672146284163E-2</c:v>
                </c:pt>
                <c:pt idx="80">
                  <c:v>6.3520798300152892E-2</c:v>
                </c:pt>
                <c:pt idx="81">
                  <c:v>6.40792955078342E-2</c:v>
                </c:pt>
                <c:pt idx="82">
                  <c:v>6.5396110606778635E-2</c:v>
                </c:pt>
                <c:pt idx="83">
                  <c:v>6.4957527015843342E-2</c:v>
                </c:pt>
                <c:pt idx="84">
                  <c:v>6.5090362094175624E-2</c:v>
                </c:pt>
                <c:pt idx="85">
                  <c:v>6.7162910689390287E-2</c:v>
                </c:pt>
                <c:pt idx="86">
                  <c:v>7.1160099983543557E-2</c:v>
                </c:pt>
                <c:pt idx="87">
                  <c:v>6.8398116651886109E-2</c:v>
                </c:pt>
                <c:pt idx="88">
                  <c:v>6.9412016285910871E-2</c:v>
                </c:pt>
                <c:pt idx="89">
                  <c:v>6.520914696599367E-2</c:v>
                </c:pt>
                <c:pt idx="90">
                  <c:v>7.2498361484479856E-2</c:v>
                </c:pt>
                <c:pt idx="91">
                  <c:v>7.4263981445060079E-2</c:v>
                </c:pt>
                <c:pt idx="92">
                  <c:v>6.9939872015715165E-2</c:v>
                </c:pt>
                <c:pt idx="93">
                  <c:v>7.2097475247847598E-2</c:v>
                </c:pt>
                <c:pt idx="94">
                  <c:v>7.1206854862364777E-2</c:v>
                </c:pt>
                <c:pt idx="95">
                  <c:v>6.5977395975185482E-2</c:v>
                </c:pt>
                <c:pt idx="96">
                  <c:v>5.7188396238377015E-2</c:v>
                </c:pt>
                <c:pt idx="97">
                  <c:v>6.5762035662034091E-2</c:v>
                </c:pt>
                <c:pt idx="98">
                  <c:v>7.0316861380127049E-2</c:v>
                </c:pt>
                <c:pt idx="99">
                  <c:v>7.152015270027734E-2</c:v>
                </c:pt>
                <c:pt idx="100">
                  <c:v>7.352729370371236E-2</c:v>
                </c:pt>
                <c:pt idx="101">
                  <c:v>7.232662573198656E-2</c:v>
                </c:pt>
                <c:pt idx="102">
                  <c:v>6.9468044907448734E-2</c:v>
                </c:pt>
                <c:pt idx="103">
                  <c:v>7.4755465585265579E-2</c:v>
                </c:pt>
                <c:pt idx="104">
                  <c:v>7.8804436933387567E-2</c:v>
                </c:pt>
                <c:pt idx="105">
                  <c:v>7.5512285133594315E-2</c:v>
                </c:pt>
                <c:pt idx="106">
                  <c:v>7.5939182518364845E-2</c:v>
                </c:pt>
                <c:pt idx="107">
                  <c:v>7.8495623390605118E-2</c:v>
                </c:pt>
                <c:pt idx="108">
                  <c:v>7.5569402069048719E-2</c:v>
                </c:pt>
                <c:pt idx="109">
                  <c:v>7.9693836937922313E-2</c:v>
                </c:pt>
                <c:pt idx="110">
                  <c:v>7.28811001601819E-2</c:v>
                </c:pt>
                <c:pt idx="111">
                  <c:v>6.8295649815438342E-2</c:v>
                </c:pt>
                <c:pt idx="112">
                  <c:v>6.8260557660728693E-2</c:v>
                </c:pt>
                <c:pt idx="113">
                  <c:v>7.2484258401135149E-2</c:v>
                </c:pt>
                <c:pt idx="114">
                  <c:v>7.1932603349781576E-2</c:v>
                </c:pt>
                <c:pt idx="115">
                  <c:v>7.5886397050689558E-2</c:v>
                </c:pt>
                <c:pt idx="116">
                  <c:v>7.4627042566181245E-2</c:v>
                </c:pt>
                <c:pt idx="117">
                  <c:v>6.8016844540931709E-2</c:v>
                </c:pt>
                <c:pt idx="118">
                  <c:v>6.3414527419682676E-2</c:v>
                </c:pt>
                <c:pt idx="119">
                  <c:v>6.0501634994546416E-2</c:v>
                </c:pt>
                <c:pt idx="120">
                  <c:v>6.2552145034969531E-2</c:v>
                </c:pt>
                <c:pt idx="121">
                  <c:v>7.2936830733800972E-2</c:v>
                </c:pt>
                <c:pt idx="122">
                  <c:v>7.6870639371623195E-2</c:v>
                </c:pt>
                <c:pt idx="123">
                  <c:v>7.6501443128737412E-2</c:v>
                </c:pt>
                <c:pt idx="124">
                  <c:v>7.2730158377646292E-2</c:v>
                </c:pt>
                <c:pt idx="125">
                  <c:v>8.3894471194564613E-2</c:v>
                </c:pt>
                <c:pt idx="126">
                  <c:v>8.6570640331862236E-2</c:v>
                </c:pt>
                <c:pt idx="127">
                  <c:v>8.6951772390226889E-2</c:v>
                </c:pt>
                <c:pt idx="128">
                  <c:v>9.1153753364205281E-2</c:v>
                </c:pt>
                <c:pt idx="129">
                  <c:v>9.404546065728292E-2</c:v>
                </c:pt>
                <c:pt idx="130">
                  <c:v>9.4497384969815634E-2</c:v>
                </c:pt>
                <c:pt idx="131">
                  <c:v>8.8620275153251438E-2</c:v>
                </c:pt>
                <c:pt idx="132">
                  <c:v>8.7314480459152355E-2</c:v>
                </c:pt>
                <c:pt idx="133">
                  <c:v>8.6169453874906043E-2</c:v>
                </c:pt>
                <c:pt idx="134">
                  <c:v>8.1503493435010066E-2</c:v>
                </c:pt>
                <c:pt idx="135">
                  <c:v>8.5845623183224307E-2</c:v>
                </c:pt>
                <c:pt idx="136">
                  <c:v>8.4860066271231771E-2</c:v>
                </c:pt>
                <c:pt idx="137">
                  <c:v>8.8150927566544413E-2</c:v>
                </c:pt>
                <c:pt idx="138">
                  <c:v>8.3488221139009333E-2</c:v>
                </c:pt>
                <c:pt idx="139">
                  <c:v>7.7394447906376396E-2</c:v>
                </c:pt>
                <c:pt idx="140">
                  <c:v>6.8399186984516414E-2</c:v>
                </c:pt>
                <c:pt idx="141">
                  <c:v>7.0841868349960313E-2</c:v>
                </c:pt>
                <c:pt idx="142">
                  <c:v>7.8076947094389393E-2</c:v>
                </c:pt>
                <c:pt idx="143">
                  <c:v>8.0010513629445112E-2</c:v>
                </c:pt>
                <c:pt idx="144">
                  <c:v>7.575052174732555E-2</c:v>
                </c:pt>
                <c:pt idx="145">
                  <c:v>7.6165934387593115E-2</c:v>
                </c:pt>
                <c:pt idx="146">
                  <c:v>6.137363258125017E-2</c:v>
                </c:pt>
                <c:pt idx="147">
                  <c:v>6.0903474292218096E-2</c:v>
                </c:pt>
                <c:pt idx="148">
                  <c:v>5.9491092015554026E-2</c:v>
                </c:pt>
                <c:pt idx="149">
                  <c:v>6.7226166188369962E-2</c:v>
                </c:pt>
                <c:pt idx="150">
                  <c:v>6.2236715718627433E-2</c:v>
                </c:pt>
                <c:pt idx="151">
                  <c:v>6.4439764387206333E-2</c:v>
                </c:pt>
                <c:pt idx="152">
                  <c:v>6.393461033067771E-2</c:v>
                </c:pt>
                <c:pt idx="153">
                  <c:v>6.8522964086395355E-2</c:v>
                </c:pt>
                <c:pt idx="154">
                  <c:v>6.557032564369103E-2</c:v>
                </c:pt>
                <c:pt idx="155">
                  <c:v>6.3039040568887872E-2</c:v>
                </c:pt>
                <c:pt idx="156">
                  <c:v>6.6798133074676969E-2</c:v>
                </c:pt>
                <c:pt idx="157">
                  <c:v>7.4818870318239084E-2</c:v>
                </c:pt>
                <c:pt idx="158">
                  <c:v>8.4180216819961462E-2</c:v>
                </c:pt>
                <c:pt idx="159">
                  <c:v>8.4796405074634373E-2</c:v>
                </c:pt>
                <c:pt idx="160">
                  <c:v>8.495496543738934E-2</c:v>
                </c:pt>
                <c:pt idx="161">
                  <c:v>8.6961282284878205E-2</c:v>
                </c:pt>
                <c:pt idx="162">
                  <c:v>9.0487170099450065E-2</c:v>
                </c:pt>
                <c:pt idx="163">
                  <c:v>8.8394671310313644E-2</c:v>
                </c:pt>
                <c:pt idx="164">
                  <c:v>9.0455347429091226E-2</c:v>
                </c:pt>
                <c:pt idx="165">
                  <c:v>9.4580544417569135E-2</c:v>
                </c:pt>
                <c:pt idx="166">
                  <c:v>9.4954555544704E-2</c:v>
                </c:pt>
                <c:pt idx="167">
                  <c:v>9.2426557101495499E-2</c:v>
                </c:pt>
                <c:pt idx="168">
                  <c:v>9.8373209167764042E-2</c:v>
                </c:pt>
                <c:pt idx="169">
                  <c:v>9.4878238385700087E-2</c:v>
                </c:pt>
                <c:pt idx="170">
                  <c:v>9.9999359551788736E-2</c:v>
                </c:pt>
                <c:pt idx="171">
                  <c:v>0.10163055845828661</c:v>
                </c:pt>
                <c:pt idx="172">
                  <c:v>0.10190039811570095</c:v>
                </c:pt>
                <c:pt idx="173">
                  <c:v>0.10499262187092362</c:v>
                </c:pt>
                <c:pt idx="174">
                  <c:v>0.11254178847873542</c:v>
                </c:pt>
                <c:pt idx="175">
                  <c:v>0.11354916105944346</c:v>
                </c:pt>
                <c:pt idx="176">
                  <c:v>0.11481467442823678</c:v>
                </c:pt>
                <c:pt idx="177">
                  <c:v>0.10517679324044327</c:v>
                </c:pt>
                <c:pt idx="178">
                  <c:v>0.10858793136026068</c:v>
                </c:pt>
                <c:pt idx="179">
                  <c:v>0.11080227866987169</c:v>
                </c:pt>
                <c:pt idx="180">
                  <c:v>0.10818710255734243</c:v>
                </c:pt>
                <c:pt idx="181">
                  <c:v>0.10746523674561659</c:v>
                </c:pt>
                <c:pt idx="182">
                  <c:v>0.10713227419065507</c:v>
                </c:pt>
                <c:pt idx="183">
                  <c:v>0.10754043781499689</c:v>
                </c:pt>
                <c:pt idx="184">
                  <c:v>0.10488424860713175</c:v>
                </c:pt>
                <c:pt idx="185">
                  <c:v>9.7121274336934293E-2</c:v>
                </c:pt>
                <c:pt idx="186">
                  <c:v>9.5610683908697425E-2</c:v>
                </c:pt>
                <c:pt idx="187">
                  <c:v>9.8356665495705098E-2</c:v>
                </c:pt>
                <c:pt idx="188">
                  <c:v>8.1027943879968811E-2</c:v>
                </c:pt>
                <c:pt idx="189">
                  <c:v>8.5074209471748929E-2</c:v>
                </c:pt>
                <c:pt idx="190">
                  <c:v>7.6190638587761983E-2</c:v>
                </c:pt>
                <c:pt idx="191">
                  <c:v>7.0311340512187126E-2</c:v>
                </c:pt>
                <c:pt idx="192">
                  <c:v>8.0762365170292227E-2</c:v>
                </c:pt>
                <c:pt idx="193">
                  <c:v>7.7825787991683049E-2</c:v>
                </c:pt>
                <c:pt idx="194">
                  <c:v>8.415364571353301E-2</c:v>
                </c:pt>
                <c:pt idx="195">
                  <c:v>9.6610083957429316E-2</c:v>
                </c:pt>
                <c:pt idx="196">
                  <c:v>9.785175258172818E-2</c:v>
                </c:pt>
                <c:pt idx="197">
                  <c:v>8.9604421556397584E-2</c:v>
                </c:pt>
                <c:pt idx="198">
                  <c:v>9.3321824549563281E-2</c:v>
                </c:pt>
                <c:pt idx="199">
                  <c:v>9.0398374347896659E-2</c:v>
                </c:pt>
                <c:pt idx="200">
                  <c:v>8.3601798854224141E-2</c:v>
                </c:pt>
                <c:pt idx="201">
                  <c:v>9.103509998295678E-2</c:v>
                </c:pt>
                <c:pt idx="202">
                  <c:v>8.8020204690823389E-2</c:v>
                </c:pt>
                <c:pt idx="203">
                  <c:v>8.5820224779456611E-2</c:v>
                </c:pt>
                <c:pt idx="204">
                  <c:v>7.8129251002497124E-2</c:v>
                </c:pt>
                <c:pt idx="205">
                  <c:v>8.9645442319283175E-2</c:v>
                </c:pt>
                <c:pt idx="206">
                  <c:v>9.7560803431092191E-2</c:v>
                </c:pt>
                <c:pt idx="207">
                  <c:v>0.10030173858548053</c:v>
                </c:pt>
                <c:pt idx="208">
                  <c:v>0.10864595918102937</c:v>
                </c:pt>
                <c:pt idx="209">
                  <c:v>0.1065335731979995</c:v>
                </c:pt>
                <c:pt idx="210">
                  <c:v>0.10518762245255431</c:v>
                </c:pt>
                <c:pt idx="211">
                  <c:v>0.10747268539320132</c:v>
                </c:pt>
                <c:pt idx="212">
                  <c:v>0.10629216351857185</c:v>
                </c:pt>
                <c:pt idx="213">
                  <c:v>0.10407334415964598</c:v>
                </c:pt>
                <c:pt idx="214">
                  <c:v>0.1039971626863565</c:v>
                </c:pt>
                <c:pt idx="215">
                  <c:v>8.8539074151279928E-2</c:v>
                </c:pt>
                <c:pt idx="216">
                  <c:v>8.8512217847966035E-2</c:v>
                </c:pt>
                <c:pt idx="217">
                  <c:v>8.5623502268601381E-2</c:v>
                </c:pt>
                <c:pt idx="218">
                  <c:v>8.3976839582426743E-2</c:v>
                </c:pt>
                <c:pt idx="219">
                  <c:v>9.4679404869715711E-2</c:v>
                </c:pt>
                <c:pt idx="220">
                  <c:v>9.7831737219032266E-2</c:v>
                </c:pt>
                <c:pt idx="221">
                  <c:v>9.1086258202913051E-2</c:v>
                </c:pt>
                <c:pt idx="222">
                  <c:v>8.8901397414889116E-2</c:v>
                </c:pt>
                <c:pt idx="223">
                  <c:v>7.5683828642306716E-2</c:v>
                </c:pt>
                <c:pt idx="224">
                  <c:v>7.4211449919974859E-2</c:v>
                </c:pt>
                <c:pt idx="225">
                  <c:v>6.9357554006590494E-2</c:v>
                </c:pt>
                <c:pt idx="226">
                  <c:v>6.2711393744877997E-2</c:v>
                </c:pt>
                <c:pt idx="227">
                  <c:v>6.2684774977253888E-2</c:v>
                </c:pt>
                <c:pt idx="228">
                  <c:v>5.7633407562894812E-2</c:v>
                </c:pt>
                <c:pt idx="229">
                  <c:v>4.9353910566108272E-2</c:v>
                </c:pt>
                <c:pt idx="230">
                  <c:v>4.4286242908804452E-2</c:v>
                </c:pt>
                <c:pt idx="231">
                  <c:v>5.4799056883196862E-2</c:v>
                </c:pt>
                <c:pt idx="232">
                  <c:v>6.7576481720620807E-2</c:v>
                </c:pt>
                <c:pt idx="233">
                  <c:v>7.1309931013318728E-2</c:v>
                </c:pt>
                <c:pt idx="234">
                  <c:v>7.4983645233656748E-2</c:v>
                </c:pt>
                <c:pt idx="235">
                  <c:v>6.1696292571762346E-2</c:v>
                </c:pt>
                <c:pt idx="236">
                  <c:v>6.0791166149978926E-2</c:v>
                </c:pt>
                <c:pt idx="237">
                  <c:v>6.1104063981518353E-2</c:v>
                </c:pt>
                <c:pt idx="238">
                  <c:v>6.3422547343160884E-2</c:v>
                </c:pt>
                <c:pt idx="239">
                  <c:v>7.5360366454876981E-2</c:v>
                </c:pt>
                <c:pt idx="240">
                  <c:v>6.1037753095149361E-2</c:v>
                </c:pt>
                <c:pt idx="241">
                  <c:v>5.7691529166270072E-2</c:v>
                </c:pt>
                <c:pt idx="242">
                  <c:v>5.3506669767805271E-2</c:v>
                </c:pt>
                <c:pt idx="243">
                  <c:v>5.9945931379445039E-2</c:v>
                </c:pt>
                <c:pt idx="244">
                  <c:v>6.3948566486896397E-2</c:v>
                </c:pt>
                <c:pt idx="245">
                  <c:v>5.6515181926493741E-2</c:v>
                </c:pt>
                <c:pt idx="246">
                  <c:v>5.4235933858870489E-2</c:v>
                </c:pt>
                <c:pt idx="247">
                  <c:v>4.9923676082665791E-2</c:v>
                </c:pt>
                <c:pt idx="248">
                  <c:v>3.9908778392614197E-2</c:v>
                </c:pt>
                <c:pt idx="249">
                  <c:v>4.5999338121327948E-2</c:v>
                </c:pt>
                <c:pt idx="250">
                  <c:v>5.640959184508243E-2</c:v>
                </c:pt>
                <c:pt idx="251">
                  <c:v>5.9011884382352386E-2</c:v>
                </c:pt>
                <c:pt idx="252">
                  <c:v>5.8177424678066414E-2</c:v>
                </c:pt>
                <c:pt idx="253">
                  <c:v>6.2782087047869251E-2</c:v>
                </c:pt>
                <c:pt idx="254">
                  <c:v>6.059460277126294E-2</c:v>
                </c:pt>
                <c:pt idx="255">
                  <c:v>6.0308777157164428E-2</c:v>
                </c:pt>
                <c:pt idx="256">
                  <c:v>4.4742638486625852E-2</c:v>
                </c:pt>
                <c:pt idx="257">
                  <c:v>4.6370964326595931E-2</c:v>
                </c:pt>
                <c:pt idx="258">
                  <c:v>5.1730753931447992E-2</c:v>
                </c:pt>
                <c:pt idx="259">
                  <c:v>4.3556181525530091E-2</c:v>
                </c:pt>
                <c:pt idx="260">
                  <c:v>3.6298290048749848E-2</c:v>
                </c:pt>
                <c:pt idx="261">
                  <c:v>2.1058780455494253E-2</c:v>
                </c:pt>
                <c:pt idx="262">
                  <c:v>2.5893393869839354E-2</c:v>
                </c:pt>
                <c:pt idx="263">
                  <c:v>4.7073220165043006E-2</c:v>
                </c:pt>
                <c:pt idx="264">
                  <c:v>5.7477023121758508E-2</c:v>
                </c:pt>
                <c:pt idx="265">
                  <c:v>6.4729441608808669E-2</c:v>
                </c:pt>
                <c:pt idx="266">
                  <c:v>5.9743016504939295E-2</c:v>
                </c:pt>
                <c:pt idx="267">
                  <c:v>6.3842505934009086E-2</c:v>
                </c:pt>
                <c:pt idx="268">
                  <c:v>6.3081593135169811E-2</c:v>
                </c:pt>
                <c:pt idx="269">
                  <c:v>6.8059876971762856E-2</c:v>
                </c:pt>
                <c:pt idx="270">
                  <c:v>6.5798500044931263E-2</c:v>
                </c:pt>
                <c:pt idx="271">
                  <c:v>6.5319296835178786E-2</c:v>
                </c:pt>
                <c:pt idx="272">
                  <c:v>7.9745230119985688E-2</c:v>
                </c:pt>
                <c:pt idx="273">
                  <c:v>7.8449711463463245E-2</c:v>
                </c:pt>
                <c:pt idx="274">
                  <c:v>6.9292428958332319E-2</c:v>
                </c:pt>
                <c:pt idx="275">
                  <c:v>7.4489802168065111E-2</c:v>
                </c:pt>
                <c:pt idx="276">
                  <c:v>8.1198903489803964E-2</c:v>
                </c:pt>
                <c:pt idx="277">
                  <c:v>6.5444442181776585E-2</c:v>
                </c:pt>
                <c:pt idx="278">
                  <c:v>5.7456789381819418E-2</c:v>
                </c:pt>
                <c:pt idx="279">
                  <c:v>5.5644373331208419E-2</c:v>
                </c:pt>
                <c:pt idx="280">
                  <c:v>5.2763808652192434E-2</c:v>
                </c:pt>
                <c:pt idx="281">
                  <c:v>4.2084401463978516E-2</c:v>
                </c:pt>
                <c:pt idx="282">
                  <c:v>4.4896755277647138E-2</c:v>
                </c:pt>
                <c:pt idx="283">
                  <c:v>5.5688021102331842E-2</c:v>
                </c:pt>
                <c:pt idx="284">
                  <c:v>4.6011604364470715E-2</c:v>
                </c:pt>
                <c:pt idx="285">
                  <c:v>4.4141192588064593E-2</c:v>
                </c:pt>
                <c:pt idx="286">
                  <c:v>4.555737460474929E-2</c:v>
                </c:pt>
                <c:pt idx="287">
                  <c:v>5.0200520049792141E-2</c:v>
                </c:pt>
                <c:pt idx="288">
                  <c:v>3.8788088189698922E-2</c:v>
                </c:pt>
                <c:pt idx="289">
                  <c:v>2.4581576619762346E-2</c:v>
                </c:pt>
                <c:pt idx="290">
                  <c:v>2.6346741613205937E-2</c:v>
                </c:pt>
                <c:pt idx="291">
                  <c:v>1.4467545130841142E-2</c:v>
                </c:pt>
                <c:pt idx="292">
                  <c:v>1.2233367843526244E-2</c:v>
                </c:pt>
                <c:pt idx="293">
                  <c:v>2.478459548894052E-2</c:v>
                </c:pt>
                <c:pt idx="294">
                  <c:v>6.4913764846410427E-3</c:v>
                </c:pt>
                <c:pt idx="295">
                  <c:v>4.0783512073829797E-3</c:v>
                </c:pt>
                <c:pt idx="296">
                  <c:v>8.2379445017390918E-3</c:v>
                </c:pt>
                <c:pt idx="297">
                  <c:v>2.5355978601234952E-2</c:v>
                </c:pt>
                <c:pt idx="298">
                  <c:v>-4.346201493156121E-4</c:v>
                </c:pt>
                <c:pt idx="299">
                  <c:v>-8.9121052687407554E-3</c:v>
                </c:pt>
                <c:pt idx="300">
                  <c:v>-3.0947275897018511E-2</c:v>
                </c:pt>
                <c:pt idx="301">
                  <c:v>-2.95894119074952E-2</c:v>
                </c:pt>
                <c:pt idx="302">
                  <c:v>-3.1903036963061626E-2</c:v>
                </c:pt>
                <c:pt idx="303">
                  <c:v>-3.2064369644175694E-2</c:v>
                </c:pt>
                <c:pt idx="304">
                  <c:v>-1.9478318773716086E-2</c:v>
                </c:pt>
                <c:pt idx="305">
                  <c:v>-1.9540815280584711E-2</c:v>
                </c:pt>
                <c:pt idx="306">
                  <c:v>-1.215335719522137E-2</c:v>
                </c:pt>
                <c:pt idx="307">
                  <c:v>-2.8493326777271233E-2</c:v>
                </c:pt>
                <c:pt idx="308">
                  <c:v>-2.4123726813910618E-2</c:v>
                </c:pt>
                <c:pt idx="309">
                  <c:v>-2.1316575361516321E-2</c:v>
                </c:pt>
                <c:pt idx="310">
                  <c:v>-1.5318577616069473E-2</c:v>
                </c:pt>
                <c:pt idx="311">
                  <c:v>-1.5314510933560843E-2</c:v>
                </c:pt>
                <c:pt idx="312">
                  <c:v>-8.1743880431105476E-3</c:v>
                </c:pt>
                <c:pt idx="313">
                  <c:v>1.4271294193792805E-3</c:v>
                </c:pt>
                <c:pt idx="314">
                  <c:v>1.5195396107565928E-2</c:v>
                </c:pt>
                <c:pt idx="315">
                  <c:v>7.6452933684429958E-3</c:v>
                </c:pt>
                <c:pt idx="316">
                  <c:v>3.2695729303224841E-3</c:v>
                </c:pt>
                <c:pt idx="317">
                  <c:v>1.7009103945900828E-2</c:v>
                </c:pt>
                <c:pt idx="318">
                  <c:v>7.6245065859037453E-3</c:v>
                </c:pt>
                <c:pt idx="319">
                  <c:v>5.6445860874447806E-3</c:v>
                </c:pt>
                <c:pt idx="320">
                  <c:v>1.3173188476565789E-2</c:v>
                </c:pt>
                <c:pt idx="321">
                  <c:v>6.0772973051725909E-3</c:v>
                </c:pt>
                <c:pt idx="322">
                  <c:v>-6.7792069961877255E-3</c:v>
                </c:pt>
                <c:pt idx="323">
                  <c:v>-2.2332240750160604E-2</c:v>
                </c:pt>
                <c:pt idx="324">
                  <c:v>-5.4339396348615843E-2</c:v>
                </c:pt>
                <c:pt idx="325">
                  <c:v>-5.8079983320195261E-2</c:v>
                </c:pt>
                <c:pt idx="326">
                  <c:v>-4.3096796370481916E-2</c:v>
                </c:pt>
                <c:pt idx="327">
                  <c:v>-5.7720289179011508E-2</c:v>
                </c:pt>
                <c:pt idx="328">
                  <c:v>-5.8175374627475906E-2</c:v>
                </c:pt>
                <c:pt idx="329">
                  <c:v>-5.2332556099492611E-2</c:v>
                </c:pt>
                <c:pt idx="330">
                  <c:v>-5.1049585010763843E-2</c:v>
                </c:pt>
                <c:pt idx="331">
                  <c:v>-4.6484814420541753E-2</c:v>
                </c:pt>
                <c:pt idx="332">
                  <c:v>-3.2878305969278543E-2</c:v>
                </c:pt>
                <c:pt idx="333">
                  <c:v>-3.6480695326747137E-2</c:v>
                </c:pt>
                <c:pt idx="334">
                  <c:v>-4.3688735757722474E-2</c:v>
                </c:pt>
                <c:pt idx="335">
                  <c:v>-4.479001553323525E-2</c:v>
                </c:pt>
                <c:pt idx="336">
                  <c:v>-4.9436812624329862E-2</c:v>
                </c:pt>
                <c:pt idx="337">
                  <c:v>-4.2255198057527421E-2</c:v>
                </c:pt>
                <c:pt idx="338">
                  <c:v>-4.8864432392002333E-2</c:v>
                </c:pt>
                <c:pt idx="339">
                  <c:v>-5.436444194240464E-2</c:v>
                </c:pt>
                <c:pt idx="340">
                  <c:v>-4.3229247969013174E-2</c:v>
                </c:pt>
                <c:pt idx="341">
                  <c:v>-4.3534627739337362E-2</c:v>
                </c:pt>
                <c:pt idx="342">
                  <c:v>-5.0142392209212128E-2</c:v>
                </c:pt>
                <c:pt idx="343">
                  <c:v>-5.5302805428667723E-2</c:v>
                </c:pt>
                <c:pt idx="344">
                  <c:v>-5.3980172244770586E-2</c:v>
                </c:pt>
                <c:pt idx="345">
                  <c:v>-6.0789241116806947E-2</c:v>
                </c:pt>
                <c:pt idx="346">
                  <c:v>-5.0079561474273393E-2</c:v>
                </c:pt>
                <c:pt idx="347">
                  <c:v>-5.2126805906741125E-2</c:v>
                </c:pt>
                <c:pt idx="348">
                  <c:v>-3.8303150844741896E-2</c:v>
                </c:pt>
                <c:pt idx="349">
                  <c:v>-3.6751946818693648E-2</c:v>
                </c:pt>
                <c:pt idx="350">
                  <c:v>-2.785492507642906E-2</c:v>
                </c:pt>
                <c:pt idx="351">
                  <c:v>-2.9868114492094144E-2</c:v>
                </c:pt>
                <c:pt idx="352">
                  <c:v>-2.9304611779011558E-2</c:v>
                </c:pt>
                <c:pt idx="353">
                  <c:v>-3.4449639994816428E-2</c:v>
                </c:pt>
                <c:pt idx="354">
                  <c:v>-1.9456593081974227E-2</c:v>
                </c:pt>
                <c:pt idx="355">
                  <c:v>-9.064653478987772E-3</c:v>
                </c:pt>
                <c:pt idx="356">
                  <c:v>-3.7091090708175622E-3</c:v>
                </c:pt>
                <c:pt idx="357">
                  <c:v>-3.8399228583885225E-3</c:v>
                </c:pt>
                <c:pt idx="358">
                  <c:v>-1.2720177038806457E-2</c:v>
                </c:pt>
                <c:pt idx="359">
                  <c:v>-3.8485265041792172E-3</c:v>
                </c:pt>
                <c:pt idx="360">
                  <c:v>-1.5829456999284508E-3</c:v>
                </c:pt>
                <c:pt idx="361">
                  <c:v>-8.0054569115696195E-3</c:v>
                </c:pt>
                <c:pt idx="362">
                  <c:v>-2.5387326076315997E-3</c:v>
                </c:pt>
                <c:pt idx="363">
                  <c:v>-5.857059638443185E-3</c:v>
                </c:pt>
                <c:pt idx="364">
                  <c:v>7.1873973554297255E-3</c:v>
                </c:pt>
                <c:pt idx="365">
                  <c:v>4.736201928313033E-3</c:v>
                </c:pt>
                <c:pt idx="366">
                  <c:v>1.5689991453456287E-2</c:v>
                </c:pt>
                <c:pt idx="367">
                  <c:v>1.4324565349024487E-2</c:v>
                </c:pt>
                <c:pt idx="368">
                  <c:v>1.2420998968628139E-2</c:v>
                </c:pt>
                <c:pt idx="369">
                  <c:v>4.5817130482737056E-3</c:v>
                </c:pt>
                <c:pt idx="370">
                  <c:v>5.9627648120554877E-3</c:v>
                </c:pt>
                <c:pt idx="371">
                  <c:v>-6.3354163322574264E-3</c:v>
                </c:pt>
                <c:pt idx="372">
                  <c:v>-1.7836076198401996E-2</c:v>
                </c:pt>
                <c:pt idx="373">
                  <c:v>-1.698835794647735E-2</c:v>
                </c:pt>
                <c:pt idx="374">
                  <c:v>-1.5228208296976686E-2</c:v>
                </c:pt>
                <c:pt idx="375">
                  <c:v>-5.0624108629954145E-3</c:v>
                </c:pt>
                <c:pt idx="376">
                  <c:v>-2.1479228774152426E-2</c:v>
                </c:pt>
                <c:pt idx="377">
                  <c:v>-2.5805344847707579E-2</c:v>
                </c:pt>
                <c:pt idx="378">
                  <c:v>-3.4675664771007142E-2</c:v>
                </c:pt>
                <c:pt idx="379">
                  <c:v>-4.1572734145121082E-2</c:v>
                </c:pt>
                <c:pt idx="380">
                  <c:v>-4.8491177169489141E-2</c:v>
                </c:pt>
                <c:pt idx="381">
                  <c:v>-5.1288795172098056E-2</c:v>
                </c:pt>
                <c:pt idx="382">
                  <c:v>-5.8410245289613028E-2</c:v>
                </c:pt>
                <c:pt idx="383">
                  <c:v>-4.7902911720876351E-2</c:v>
                </c:pt>
                <c:pt idx="384">
                  <c:v>-4.7567378302241892E-2</c:v>
                </c:pt>
                <c:pt idx="385">
                  <c:v>-3.559206926610381E-2</c:v>
                </c:pt>
                <c:pt idx="386">
                  <c:v>-2.8977370527590196E-2</c:v>
                </c:pt>
                <c:pt idx="387">
                  <c:v>-5.2653322476292508E-2</c:v>
                </c:pt>
                <c:pt idx="388">
                  <c:v>-5.0829815154090241E-2</c:v>
                </c:pt>
                <c:pt idx="389">
                  <c:v>-6.16078069737378E-2</c:v>
                </c:pt>
                <c:pt idx="390">
                  <c:v>-6.5358343462340263E-2</c:v>
                </c:pt>
                <c:pt idx="391">
                  <c:v>-6.2379901279487004E-2</c:v>
                </c:pt>
                <c:pt idx="392">
                  <c:v>-7.2002651083677649E-2</c:v>
                </c:pt>
                <c:pt idx="393">
                  <c:v>-7.7886170156739376E-2</c:v>
                </c:pt>
                <c:pt idx="394">
                  <c:v>-8.7270138698225863E-2</c:v>
                </c:pt>
                <c:pt idx="395">
                  <c:v>-0.10157220754723972</c:v>
                </c:pt>
                <c:pt idx="396">
                  <c:v>-0.11524622330668466</c:v>
                </c:pt>
                <c:pt idx="397">
                  <c:v>-0.1194915453963209</c:v>
                </c:pt>
                <c:pt idx="398">
                  <c:v>-9.9870411175108531E-2</c:v>
                </c:pt>
                <c:pt idx="399">
                  <c:v>-0.11252122933512909</c:v>
                </c:pt>
                <c:pt idx="400">
                  <c:v>-0.11775121140133471</c:v>
                </c:pt>
                <c:pt idx="401">
                  <c:v>-0.10035523043950467</c:v>
                </c:pt>
                <c:pt idx="402">
                  <c:v>-8.0724860820886368E-2</c:v>
                </c:pt>
                <c:pt idx="403">
                  <c:v>-8.5171042148005305E-2</c:v>
                </c:pt>
                <c:pt idx="404">
                  <c:v>-9.1757126888677321E-2</c:v>
                </c:pt>
                <c:pt idx="405">
                  <c:v>-0.10640393869729847</c:v>
                </c:pt>
                <c:pt idx="406">
                  <c:v>-0.11543381024894084</c:v>
                </c:pt>
                <c:pt idx="407">
                  <c:v>-0.11874967445112528</c:v>
                </c:pt>
                <c:pt idx="408">
                  <c:v>-0.11910830543738793</c:v>
                </c:pt>
                <c:pt idx="409">
                  <c:v>-0.11077483537266652</c:v>
                </c:pt>
                <c:pt idx="410">
                  <c:v>-0.12510088550281817</c:v>
                </c:pt>
                <c:pt idx="411">
                  <c:v>-0.11094273741786564</c:v>
                </c:pt>
                <c:pt idx="412">
                  <c:v>-0.10656388293924324</c:v>
                </c:pt>
                <c:pt idx="413">
                  <c:v>-0.11765015434549153</c:v>
                </c:pt>
                <c:pt idx="414">
                  <c:v>-0.12250809563146703</c:v>
                </c:pt>
                <c:pt idx="415">
                  <c:v>-0.1132673194510857</c:v>
                </c:pt>
                <c:pt idx="416">
                  <c:v>-0.11476153249673804</c:v>
                </c:pt>
                <c:pt idx="417">
                  <c:v>-9.9562459570055051E-2</c:v>
                </c:pt>
                <c:pt idx="418">
                  <c:v>-9.5630132350533525E-2</c:v>
                </c:pt>
                <c:pt idx="419">
                  <c:v>-9.6339055198269685E-2</c:v>
                </c:pt>
                <c:pt idx="420">
                  <c:v>-9.0402592155437222E-2</c:v>
                </c:pt>
                <c:pt idx="421">
                  <c:v>-9.6363072066899425E-2</c:v>
                </c:pt>
                <c:pt idx="422">
                  <c:v>-9.180984890970012E-2</c:v>
                </c:pt>
                <c:pt idx="423">
                  <c:v>-0.10398162752131357</c:v>
                </c:pt>
                <c:pt idx="424">
                  <c:v>-0.10888144474062478</c:v>
                </c:pt>
                <c:pt idx="425">
                  <c:v>-9.4437370558191791E-2</c:v>
                </c:pt>
                <c:pt idx="426">
                  <c:v>-9.4523963040632042E-2</c:v>
                </c:pt>
                <c:pt idx="427">
                  <c:v>-8.9514217987870182E-2</c:v>
                </c:pt>
                <c:pt idx="428">
                  <c:v>-0.10078122496533726</c:v>
                </c:pt>
                <c:pt idx="429">
                  <c:v>-6.1751036409964266E-2</c:v>
                </c:pt>
                <c:pt idx="430">
                  <c:v>-5.3192135884210234E-2</c:v>
                </c:pt>
                <c:pt idx="431">
                  <c:v>-6.1035601632550063E-2</c:v>
                </c:pt>
                <c:pt idx="432">
                  <c:v>-5.0151191618653335E-2</c:v>
                </c:pt>
                <c:pt idx="433">
                  <c:v>-5.363818545962562E-2</c:v>
                </c:pt>
                <c:pt idx="434">
                  <c:v>-5.9234195852233995E-2</c:v>
                </c:pt>
                <c:pt idx="435">
                  <c:v>-5.9420087861468684E-2</c:v>
                </c:pt>
                <c:pt idx="436">
                  <c:v>-6.2674539455816358E-2</c:v>
                </c:pt>
                <c:pt idx="437">
                  <c:v>-5.4242544519616187E-2</c:v>
                </c:pt>
                <c:pt idx="438">
                  <c:v>-4.8736625021049029E-2</c:v>
                </c:pt>
                <c:pt idx="439">
                  <c:v>-4.9574609487251342E-2</c:v>
                </c:pt>
                <c:pt idx="440">
                  <c:v>-5.9353221482804086E-2</c:v>
                </c:pt>
                <c:pt idx="441">
                  <c:v>-5.6535920903337145E-2</c:v>
                </c:pt>
                <c:pt idx="442">
                  <c:v>-3.6656387888366448E-2</c:v>
                </c:pt>
                <c:pt idx="443">
                  <c:v>-3.0642775004840028E-2</c:v>
                </c:pt>
                <c:pt idx="444">
                  <c:v>-3.0110885587492864E-2</c:v>
                </c:pt>
                <c:pt idx="445">
                  <c:v>-4.5494568088936593E-2</c:v>
                </c:pt>
                <c:pt idx="446">
                  <c:v>-5.0298407972252934E-2</c:v>
                </c:pt>
                <c:pt idx="447">
                  <c:v>-4.7104523060530701E-2</c:v>
                </c:pt>
                <c:pt idx="448">
                  <c:v>-4.3963402529358264E-2</c:v>
                </c:pt>
                <c:pt idx="449">
                  <c:v>-4.9548258739726792E-2</c:v>
                </c:pt>
                <c:pt idx="450">
                  <c:v>-4.5328044351089058E-2</c:v>
                </c:pt>
                <c:pt idx="451">
                  <c:v>-3.4364103209229002E-2</c:v>
                </c:pt>
                <c:pt idx="452">
                  <c:v>-3.5971705473647808E-2</c:v>
                </c:pt>
                <c:pt idx="453">
                  <c:v>-4.9675961674480407E-2</c:v>
                </c:pt>
                <c:pt idx="454">
                  <c:v>-5.6628181189655291E-2</c:v>
                </c:pt>
                <c:pt idx="455">
                  <c:v>-6.4114940477122406E-2</c:v>
                </c:pt>
                <c:pt idx="456">
                  <c:v>-6.4979490597587231E-2</c:v>
                </c:pt>
                <c:pt idx="457">
                  <c:v>-5.6802262651135971E-2</c:v>
                </c:pt>
                <c:pt idx="458">
                  <c:v>-6.5039951221533054E-2</c:v>
                </c:pt>
                <c:pt idx="459">
                  <c:v>-6.3076036679315939E-2</c:v>
                </c:pt>
                <c:pt idx="460">
                  <c:v>-6.6418131248689449E-2</c:v>
                </c:pt>
                <c:pt idx="461">
                  <c:v>-7.6072630084590642E-2</c:v>
                </c:pt>
                <c:pt idx="462">
                  <c:v>-6.3542625685778731E-2</c:v>
                </c:pt>
                <c:pt idx="463">
                  <c:v>-6.7007693932187973E-2</c:v>
                </c:pt>
                <c:pt idx="464">
                  <c:v>-6.53011610490144E-2</c:v>
                </c:pt>
                <c:pt idx="465">
                  <c:v>-5.5747667606018458E-2</c:v>
                </c:pt>
                <c:pt idx="466">
                  <c:v>-6.324206637013996E-2</c:v>
                </c:pt>
                <c:pt idx="467">
                  <c:v>-4.5093634274239958E-2</c:v>
                </c:pt>
                <c:pt idx="468">
                  <c:v>-4.1179728859363274E-2</c:v>
                </c:pt>
                <c:pt idx="469">
                  <c:v>-3.9671265961540136E-2</c:v>
                </c:pt>
                <c:pt idx="470">
                  <c:v>-2.8057439008618679E-2</c:v>
                </c:pt>
                <c:pt idx="471">
                  <c:v>-1.8054034218307424E-2</c:v>
                </c:pt>
                <c:pt idx="472">
                  <c:v>-1.5860009956789822E-2</c:v>
                </c:pt>
                <c:pt idx="473">
                  <c:v>-1.7249633894297012E-2</c:v>
                </c:pt>
                <c:pt idx="474">
                  <c:v>-1.9941724511280179E-2</c:v>
                </c:pt>
                <c:pt idx="475">
                  <c:v>-2.1270115171444059E-2</c:v>
                </c:pt>
                <c:pt idx="476">
                  <c:v>-1.5144157178953677E-2</c:v>
                </c:pt>
                <c:pt idx="477">
                  <c:v>-1.0568515676644186E-2</c:v>
                </c:pt>
                <c:pt idx="478">
                  <c:v>-8.8522351245501341E-3</c:v>
                </c:pt>
                <c:pt idx="479">
                  <c:v>-7.6465382660128034E-3</c:v>
                </c:pt>
                <c:pt idx="480">
                  <c:v>-3.7456010355435554E-3</c:v>
                </c:pt>
                <c:pt idx="481">
                  <c:v>-3.7711380171329134E-3</c:v>
                </c:pt>
                <c:pt idx="482">
                  <c:v>-1.352805342882768E-2</c:v>
                </c:pt>
                <c:pt idx="483">
                  <c:v>-3.0572401418885731E-3</c:v>
                </c:pt>
                <c:pt idx="484">
                  <c:v>5.9755258546292378E-3</c:v>
                </c:pt>
                <c:pt idx="485">
                  <c:v>1.1459350999017515E-2</c:v>
                </c:pt>
                <c:pt idx="486">
                  <c:v>-3.5987985350786067E-3</c:v>
                </c:pt>
                <c:pt idx="487">
                  <c:v>-1.0765598771217966E-2</c:v>
                </c:pt>
                <c:pt idx="488">
                  <c:v>-5.720368319551361E-3</c:v>
                </c:pt>
                <c:pt idx="489">
                  <c:v>-9.5044131626434991E-3</c:v>
                </c:pt>
                <c:pt idx="490">
                  <c:v>-1.6188004001768452E-2</c:v>
                </c:pt>
                <c:pt idx="491">
                  <c:v>-1.8432946405832817E-2</c:v>
                </c:pt>
                <c:pt idx="492">
                  <c:v>-1.2147111424195334E-2</c:v>
                </c:pt>
                <c:pt idx="493">
                  <c:v>-1.2672958107880938E-2</c:v>
                </c:pt>
                <c:pt idx="494">
                  <c:v>-1.4829021352838034E-2</c:v>
                </c:pt>
                <c:pt idx="495">
                  <c:v>-2.2523505115086495E-2</c:v>
                </c:pt>
                <c:pt idx="496">
                  <c:v>-2.294821656306667E-2</c:v>
                </c:pt>
                <c:pt idx="497">
                  <c:v>-3.7550211721331439E-2</c:v>
                </c:pt>
                <c:pt idx="498">
                  <c:v>-3.8803854964376105E-2</c:v>
                </c:pt>
                <c:pt idx="499">
                  <c:v>-3.2620812572718538E-2</c:v>
                </c:pt>
                <c:pt idx="500">
                  <c:v>-4.3631549451909613E-2</c:v>
                </c:pt>
                <c:pt idx="501">
                  <c:v>-3.9622103635090888E-2</c:v>
                </c:pt>
                <c:pt idx="502">
                  <c:v>-4.0304055601543376E-2</c:v>
                </c:pt>
                <c:pt idx="503">
                  <c:v>-4.0399449203796789E-2</c:v>
                </c:pt>
                <c:pt idx="504">
                  <c:v>-3.8758783489810544E-2</c:v>
                </c:pt>
                <c:pt idx="505">
                  <c:v>-2.5161987905543692E-2</c:v>
                </c:pt>
                <c:pt idx="506">
                  <c:v>-2.8818159576471603E-2</c:v>
                </c:pt>
                <c:pt idx="507">
                  <c:v>-3.9960967481361021E-2</c:v>
                </c:pt>
                <c:pt idx="508">
                  <c:v>-3.8633958035211635E-2</c:v>
                </c:pt>
                <c:pt idx="509">
                  <c:v>-4.7937007435427725E-2</c:v>
                </c:pt>
                <c:pt idx="510">
                  <c:v>-4.8472734646096027E-2</c:v>
                </c:pt>
                <c:pt idx="511">
                  <c:v>-4.6572765727025622E-2</c:v>
                </c:pt>
                <c:pt idx="512">
                  <c:v>-4.3284178297233633E-2</c:v>
                </c:pt>
                <c:pt idx="513">
                  <c:v>-4.6610318899897307E-2</c:v>
                </c:pt>
                <c:pt idx="514">
                  <c:v>-4.0289507930310386E-2</c:v>
                </c:pt>
                <c:pt idx="515">
                  <c:v>-4.2860719117069457E-2</c:v>
                </c:pt>
                <c:pt idx="516">
                  <c:v>-3.9452041377124214E-2</c:v>
                </c:pt>
                <c:pt idx="517">
                  <c:v>-3.5557352050958446E-2</c:v>
                </c:pt>
                <c:pt idx="518">
                  <c:v>-3.9011438161615675E-2</c:v>
                </c:pt>
                <c:pt idx="519">
                  <c:v>-3.6413189748393804E-2</c:v>
                </c:pt>
                <c:pt idx="520">
                  <c:v>-3.3323032998682223E-2</c:v>
                </c:pt>
                <c:pt idx="521">
                  <c:v>-3.5879600693895064E-2</c:v>
                </c:pt>
                <c:pt idx="522">
                  <c:v>-3.4656906881852967E-2</c:v>
                </c:pt>
                <c:pt idx="523">
                  <c:v>-2.7956876291331922E-2</c:v>
                </c:pt>
                <c:pt idx="524">
                  <c:v>-2.1605153810307143E-2</c:v>
                </c:pt>
                <c:pt idx="525">
                  <c:v>-1.1922120044288165E-2</c:v>
                </c:pt>
                <c:pt idx="526">
                  <c:v>-8.447987227786169E-3</c:v>
                </c:pt>
                <c:pt idx="527">
                  <c:v>-8.489278866973482E-3</c:v>
                </c:pt>
                <c:pt idx="528">
                  <c:v>-1.0734107569148055E-2</c:v>
                </c:pt>
                <c:pt idx="529">
                  <c:v>-8.7397299377700577E-3</c:v>
                </c:pt>
                <c:pt idx="530">
                  <c:v>-1.0626859870770167E-2</c:v>
                </c:pt>
                <c:pt idx="531">
                  <c:v>-8.0999539003869803E-3</c:v>
                </c:pt>
                <c:pt idx="532">
                  <c:v>-9.2154570716865836E-3</c:v>
                </c:pt>
                <c:pt idx="533">
                  <c:v>-2.5685571332493273E-3</c:v>
                </c:pt>
                <c:pt idx="534">
                  <c:v>-8.7355680694337634E-3</c:v>
                </c:pt>
                <c:pt idx="535">
                  <c:v>-8.3351896298982098E-3</c:v>
                </c:pt>
                <c:pt idx="536">
                  <c:v>-7.2201916302041536E-3</c:v>
                </c:pt>
                <c:pt idx="537">
                  <c:v>-1.0308632375388926E-2</c:v>
                </c:pt>
                <c:pt idx="538">
                  <c:v>-1.1728070775062438E-2</c:v>
                </c:pt>
                <c:pt idx="539">
                  <c:v>-1.316253285967528E-2</c:v>
                </c:pt>
                <c:pt idx="540">
                  <c:v>-1.0896398365532689E-2</c:v>
                </c:pt>
                <c:pt idx="541">
                  <c:v>-1.7794513148148838E-2</c:v>
                </c:pt>
                <c:pt idx="542">
                  <c:v>-2.2359979970020816E-2</c:v>
                </c:pt>
                <c:pt idx="543">
                  <c:v>-1.4725472140135532E-2</c:v>
                </c:pt>
                <c:pt idx="544">
                  <c:v>-7.6192335908864539E-3</c:v>
                </c:pt>
                <c:pt idx="545">
                  <c:v>-1.4909340332609267E-2</c:v>
                </c:pt>
                <c:pt idx="546">
                  <c:v>-1.7500950875858012E-2</c:v>
                </c:pt>
                <c:pt idx="547">
                  <c:v>-1.7797257419507662E-2</c:v>
                </c:pt>
                <c:pt idx="548">
                  <c:v>-1.8804091078093887E-2</c:v>
                </c:pt>
                <c:pt idx="549">
                  <c:v>-9.9833590093969526E-3</c:v>
                </c:pt>
                <c:pt idx="550">
                  <c:v>-1.2351368720734945E-2</c:v>
                </c:pt>
                <c:pt idx="551">
                  <c:v>-1.4467335347551291E-2</c:v>
                </c:pt>
                <c:pt idx="552">
                  <c:v>-1.0000777836959962E-2</c:v>
                </c:pt>
                <c:pt idx="553">
                  <c:v>-1.2674055020193142E-2</c:v>
                </c:pt>
                <c:pt idx="554">
                  <c:v>-1.714344152135816E-2</c:v>
                </c:pt>
                <c:pt idx="555">
                  <c:v>-1.3796375254534921E-2</c:v>
                </c:pt>
                <c:pt idx="556">
                  <c:v>-2.2296720083136434E-2</c:v>
                </c:pt>
                <c:pt idx="557">
                  <c:v>-1.6247952483515848E-2</c:v>
                </c:pt>
                <c:pt idx="558">
                  <c:v>-1.7623270046388861E-2</c:v>
                </c:pt>
                <c:pt idx="559">
                  <c:v>-1.8211174369659799E-2</c:v>
                </c:pt>
                <c:pt idx="560">
                  <c:v>-1.5940380477949878E-2</c:v>
                </c:pt>
                <c:pt idx="561">
                  <c:v>-2.0998008737112883E-2</c:v>
                </c:pt>
                <c:pt idx="562">
                  <c:v>-2.855417415406758E-2</c:v>
                </c:pt>
                <c:pt idx="563">
                  <c:v>-2.9892291962480666E-2</c:v>
                </c:pt>
                <c:pt idx="564">
                  <c:v>-1.9446775198299626E-2</c:v>
                </c:pt>
                <c:pt idx="565">
                  <c:v>-1.9773925881950372E-2</c:v>
                </c:pt>
                <c:pt idx="566">
                  <c:v>-2.2450341007607677E-2</c:v>
                </c:pt>
                <c:pt idx="567">
                  <c:v>-1.3924241131950121E-2</c:v>
                </c:pt>
                <c:pt idx="568">
                  <c:v>-6.1578412322733644E-3</c:v>
                </c:pt>
                <c:pt idx="569">
                  <c:v>-8.5883761678468007E-3</c:v>
                </c:pt>
                <c:pt idx="570">
                  <c:v>-3.0036150017580532E-3</c:v>
                </c:pt>
                <c:pt idx="571">
                  <c:v>-6.4138534732103292E-3</c:v>
                </c:pt>
                <c:pt idx="572">
                  <c:v>-4.0297948588541299E-4</c:v>
                </c:pt>
                <c:pt idx="573">
                  <c:v>-2.1964316956968322E-3</c:v>
                </c:pt>
                <c:pt idx="574">
                  <c:v>2.0344484461154444E-4</c:v>
                </c:pt>
                <c:pt idx="575">
                  <c:v>3.3227915454470125E-3</c:v>
                </c:pt>
                <c:pt idx="576">
                  <c:v>5.6809012869885045E-3</c:v>
                </c:pt>
                <c:pt idx="577">
                  <c:v>1.5469726148030105E-2</c:v>
                </c:pt>
                <c:pt idx="578">
                  <c:v>1.3309834215136762E-2</c:v>
                </c:pt>
                <c:pt idx="579">
                  <c:v>7.9062416144237702E-3</c:v>
                </c:pt>
                <c:pt idx="580">
                  <c:v>6.4396207594579202E-3</c:v>
                </c:pt>
                <c:pt idx="581">
                  <c:v>5.2985894522805665E-4</c:v>
                </c:pt>
                <c:pt idx="582">
                  <c:v>-5.2506195734215444E-3</c:v>
                </c:pt>
                <c:pt idx="583">
                  <c:v>-3.6408347672136632E-3</c:v>
                </c:pt>
                <c:pt idx="584">
                  <c:v>4.4849083605003059E-4</c:v>
                </c:pt>
                <c:pt idx="585">
                  <c:v>1.8220278973184456E-3</c:v>
                </c:pt>
                <c:pt idx="586">
                  <c:v>4.4204775745182445E-5</c:v>
                </c:pt>
                <c:pt idx="587">
                  <c:v>8.292281832364079E-3</c:v>
                </c:pt>
                <c:pt idx="588">
                  <c:v>9.3100899283249383E-3</c:v>
                </c:pt>
                <c:pt idx="589">
                  <c:v>5.2458770728933679E-3</c:v>
                </c:pt>
                <c:pt idx="590">
                  <c:v>-4.9602678329465633E-3</c:v>
                </c:pt>
                <c:pt idx="591">
                  <c:v>-2.4866263395719734E-3</c:v>
                </c:pt>
                <c:pt idx="592">
                  <c:v>1.4636735709019355E-3</c:v>
                </c:pt>
                <c:pt idx="593">
                  <c:v>8.7926665759732181E-3</c:v>
                </c:pt>
                <c:pt idx="594">
                  <c:v>2.0288146441713284E-2</c:v>
                </c:pt>
                <c:pt idx="595">
                  <c:v>3.007313267923406E-2</c:v>
                </c:pt>
                <c:pt idx="596">
                  <c:v>2.495882615836531E-2</c:v>
                </c:pt>
                <c:pt idx="597">
                  <c:v>2.6272738542838958E-2</c:v>
                </c:pt>
                <c:pt idx="598">
                  <c:v>3.1174741586766919E-2</c:v>
                </c:pt>
                <c:pt idx="599">
                  <c:v>3.476609655763796E-2</c:v>
                </c:pt>
                <c:pt idx="600">
                  <c:v>2.7223075178818057E-2</c:v>
                </c:pt>
                <c:pt idx="601">
                  <c:v>2.780589598564398E-2</c:v>
                </c:pt>
                <c:pt idx="602">
                  <c:v>3.0597814671734946E-2</c:v>
                </c:pt>
                <c:pt idx="603">
                  <c:v>3.1879625951313662E-2</c:v>
                </c:pt>
                <c:pt idx="604">
                  <c:v>3.4531636716283565E-2</c:v>
                </c:pt>
                <c:pt idx="605">
                  <c:v>2.3591587098269473E-2</c:v>
                </c:pt>
                <c:pt idx="606">
                  <c:v>3.2657069049188303E-2</c:v>
                </c:pt>
                <c:pt idx="607">
                  <c:v>3.5830129018260104E-2</c:v>
                </c:pt>
                <c:pt idx="608">
                  <c:v>2.8121479387808623E-2</c:v>
                </c:pt>
                <c:pt idx="609">
                  <c:v>1.6069326866001044E-2</c:v>
                </c:pt>
                <c:pt idx="610">
                  <c:v>1.1796762412979778E-2</c:v>
                </c:pt>
                <c:pt idx="611">
                  <c:v>1.4507377931054055E-2</c:v>
                </c:pt>
                <c:pt idx="612">
                  <c:v>1.642277394138203E-2</c:v>
                </c:pt>
                <c:pt idx="613">
                  <c:v>1.401039955231842E-2</c:v>
                </c:pt>
                <c:pt idx="614">
                  <c:v>1.280045674820407E-2</c:v>
                </c:pt>
                <c:pt idx="615">
                  <c:v>9.5864689489761901E-3</c:v>
                </c:pt>
                <c:pt idx="616">
                  <c:v>6.2610707865358162E-3</c:v>
                </c:pt>
                <c:pt idx="617">
                  <c:v>5.1635929548183856E-3</c:v>
                </c:pt>
                <c:pt idx="618">
                  <c:v>-3.3446545819095785E-3</c:v>
                </c:pt>
                <c:pt idx="619">
                  <c:v>-1.072393493538859E-2</c:v>
                </c:pt>
                <c:pt idx="620">
                  <c:v>-1.5223511319160221E-2</c:v>
                </c:pt>
                <c:pt idx="621">
                  <c:v>-1.3640316254064366E-2</c:v>
                </c:pt>
                <c:pt idx="622">
                  <c:v>-1.4254928642601028E-2</c:v>
                </c:pt>
                <c:pt idx="623">
                  <c:v>-1.379213688973413E-2</c:v>
                </c:pt>
                <c:pt idx="624">
                  <c:v>-1.4557514544856209E-3</c:v>
                </c:pt>
                <c:pt idx="625">
                  <c:v>-8.8669087118643519E-3</c:v>
                </c:pt>
                <c:pt idx="626">
                  <c:v>-5.2415683472850638E-3</c:v>
                </c:pt>
                <c:pt idx="627">
                  <c:v>9.9372242948980727E-5</c:v>
                </c:pt>
                <c:pt idx="628">
                  <c:v>1.1160668316537059E-2</c:v>
                </c:pt>
                <c:pt idx="629">
                  <c:v>1.2344109043485041E-2</c:v>
                </c:pt>
                <c:pt idx="630">
                  <c:v>1.1172768348763462E-2</c:v>
                </c:pt>
                <c:pt idx="631">
                  <c:v>1.2094028803594226E-2</c:v>
                </c:pt>
                <c:pt idx="632">
                  <c:v>4.5380430181298781E-3</c:v>
                </c:pt>
                <c:pt idx="633">
                  <c:v>1.6339727738450271E-3</c:v>
                </c:pt>
                <c:pt idx="634">
                  <c:v>3.3269967343896312E-4</c:v>
                </c:pt>
                <c:pt idx="635">
                  <c:v>6.8005531920345419E-4</c:v>
                </c:pt>
                <c:pt idx="636">
                  <c:v>4.215730559534947E-3</c:v>
                </c:pt>
                <c:pt idx="637">
                  <c:v>2.4162267347478394E-3</c:v>
                </c:pt>
                <c:pt idx="638">
                  <c:v>1.5644936913514762E-3</c:v>
                </c:pt>
                <c:pt idx="639">
                  <c:v>7.2020113955439946E-3</c:v>
                </c:pt>
                <c:pt idx="640">
                  <c:v>2.1940499980281913E-3</c:v>
                </c:pt>
                <c:pt idx="641">
                  <c:v>1.8626509071539843E-3</c:v>
                </c:pt>
                <c:pt idx="642">
                  <c:v>-1.0864551986377036E-3</c:v>
                </c:pt>
                <c:pt idx="643">
                  <c:v>-4.8163882950112979E-3</c:v>
                </c:pt>
                <c:pt idx="644">
                  <c:v>-1.9665657329367647E-2</c:v>
                </c:pt>
                <c:pt idx="645">
                  <c:v>-1.7657462022618864E-2</c:v>
                </c:pt>
                <c:pt idx="646">
                  <c:v>-2.1691140134197484E-2</c:v>
                </c:pt>
                <c:pt idx="647">
                  <c:v>-3.0492477005084728E-2</c:v>
                </c:pt>
                <c:pt idx="648">
                  <c:v>-3.1898797605677487E-2</c:v>
                </c:pt>
                <c:pt idx="649">
                  <c:v>-2.7886158140212669E-2</c:v>
                </c:pt>
                <c:pt idx="650">
                  <c:v>-3.0308677248055527E-2</c:v>
                </c:pt>
                <c:pt idx="651">
                  <c:v>-3.866291453945947E-2</c:v>
                </c:pt>
                <c:pt idx="652">
                  <c:v>-5.082703523222809E-2</c:v>
                </c:pt>
                <c:pt idx="653">
                  <c:v>-4.7770834155005493E-2</c:v>
                </c:pt>
                <c:pt idx="654">
                  <c:v>-4.7410463429358396E-2</c:v>
                </c:pt>
                <c:pt idx="655">
                  <c:v>-4.2976775510572773E-2</c:v>
                </c:pt>
                <c:pt idx="656">
                  <c:v>-3.36201404631854E-2</c:v>
                </c:pt>
                <c:pt idx="657">
                  <c:v>-2.9789361239279111E-2</c:v>
                </c:pt>
                <c:pt idx="658">
                  <c:v>-2.4027516901152568E-2</c:v>
                </c:pt>
                <c:pt idx="659">
                  <c:v>-3.3966624509893517E-2</c:v>
                </c:pt>
                <c:pt idx="660">
                  <c:v>-3.0242319874369761E-2</c:v>
                </c:pt>
                <c:pt idx="661">
                  <c:v>-2.8033894876966725E-2</c:v>
                </c:pt>
                <c:pt idx="662">
                  <c:v>-3.0012092073347096E-2</c:v>
                </c:pt>
                <c:pt idx="663">
                  <c:v>-3.8410104815242763E-2</c:v>
                </c:pt>
                <c:pt idx="664">
                  <c:v>-4.5376770381767351E-2</c:v>
                </c:pt>
                <c:pt idx="665">
                  <c:v>-4.9757171010881729E-2</c:v>
                </c:pt>
                <c:pt idx="666">
                  <c:v>-4.96193769866351E-2</c:v>
                </c:pt>
                <c:pt idx="667">
                  <c:v>-4.3908733417819534E-2</c:v>
                </c:pt>
                <c:pt idx="668">
                  <c:v>-5.4359496498197601E-2</c:v>
                </c:pt>
                <c:pt idx="669">
                  <c:v>-5.393608422323537E-2</c:v>
                </c:pt>
                <c:pt idx="670">
                  <c:v>-5.4905025404224594E-2</c:v>
                </c:pt>
                <c:pt idx="671">
                  <c:v>-5.2854546916392242E-2</c:v>
                </c:pt>
                <c:pt idx="672">
                  <c:v>-5.1296900770667397E-2</c:v>
                </c:pt>
                <c:pt idx="673">
                  <c:v>-4.2275654868464851E-2</c:v>
                </c:pt>
                <c:pt idx="674">
                  <c:v>-2.6247296061306824E-2</c:v>
                </c:pt>
                <c:pt idx="675">
                  <c:v>-1.5653543417722737E-2</c:v>
                </c:pt>
                <c:pt idx="676">
                  <c:v>-1.9432428294585247E-2</c:v>
                </c:pt>
                <c:pt idx="677">
                  <c:v>-1.9783428776145917E-2</c:v>
                </c:pt>
                <c:pt idx="678">
                  <c:v>-2.0470452163069419E-2</c:v>
                </c:pt>
                <c:pt idx="679">
                  <c:v>-2.8959742428052437E-2</c:v>
                </c:pt>
                <c:pt idx="680">
                  <c:v>-2.2411759036263912E-2</c:v>
                </c:pt>
                <c:pt idx="681">
                  <c:v>-2.1861574344095636E-2</c:v>
                </c:pt>
                <c:pt idx="682">
                  <c:v>4.9425422689353127E-4</c:v>
                </c:pt>
                <c:pt idx="683">
                  <c:v>-1.5974613602278698E-3</c:v>
                </c:pt>
                <c:pt idx="684">
                  <c:v>-2.4028173780541451E-3</c:v>
                </c:pt>
                <c:pt idx="685">
                  <c:v>2.0883599158880717E-3</c:v>
                </c:pt>
                <c:pt idx="686">
                  <c:v>8.1629289236822E-3</c:v>
                </c:pt>
                <c:pt idx="687">
                  <c:v>6.5662125624001977E-3</c:v>
                </c:pt>
                <c:pt idx="688">
                  <c:v>7.8728357200363863E-3</c:v>
                </c:pt>
                <c:pt idx="689">
                  <c:v>7.2358892083754789E-3</c:v>
                </c:pt>
                <c:pt idx="690">
                  <c:v>9.2566044967394845E-3</c:v>
                </c:pt>
                <c:pt idx="691">
                  <c:v>1.3904867544971333E-2</c:v>
                </c:pt>
                <c:pt idx="692">
                  <c:v>1.7852342173619862E-2</c:v>
                </c:pt>
                <c:pt idx="693">
                  <c:v>1.5233750533789836E-2</c:v>
                </c:pt>
                <c:pt idx="694">
                  <c:v>2.6962870651971116E-2</c:v>
                </c:pt>
                <c:pt idx="695">
                  <c:v>2.1897235750386157E-2</c:v>
                </c:pt>
                <c:pt idx="696">
                  <c:v>2.1673237840433845E-2</c:v>
                </c:pt>
                <c:pt idx="697">
                  <c:v>2.0637676558076246E-2</c:v>
                </c:pt>
                <c:pt idx="698">
                  <c:v>2.3987797887908613E-2</c:v>
                </c:pt>
                <c:pt idx="699">
                  <c:v>2.2487141289539769E-2</c:v>
                </c:pt>
                <c:pt idx="700">
                  <c:v>2.3182203253061751E-2</c:v>
                </c:pt>
                <c:pt idx="701">
                  <c:v>2.4048078810527063E-2</c:v>
                </c:pt>
                <c:pt idx="702">
                  <c:v>4.3471403678424503E-2</c:v>
                </c:pt>
                <c:pt idx="703">
                  <c:v>5.6767676762891517E-2</c:v>
                </c:pt>
                <c:pt idx="704">
                  <c:v>5.2734502910327441E-2</c:v>
                </c:pt>
                <c:pt idx="705">
                  <c:v>5.3610100768628488E-2</c:v>
                </c:pt>
                <c:pt idx="706">
                  <c:v>6.0719376194779739E-2</c:v>
                </c:pt>
                <c:pt idx="707">
                  <c:v>5.2665935225026494E-2</c:v>
                </c:pt>
                <c:pt idx="708">
                  <c:v>6.0311034875220937E-2</c:v>
                </c:pt>
                <c:pt idx="709">
                  <c:v>6.0940374979713052E-2</c:v>
                </c:pt>
                <c:pt idx="710">
                  <c:v>6.6969186648389245E-2</c:v>
                </c:pt>
                <c:pt idx="711">
                  <c:v>7.2518727321845944E-2</c:v>
                </c:pt>
                <c:pt idx="712">
                  <c:v>7.0470928533359345E-2</c:v>
                </c:pt>
                <c:pt idx="713">
                  <c:v>6.50409981518969E-2</c:v>
                </c:pt>
                <c:pt idx="714">
                  <c:v>5.8576238162477257E-2</c:v>
                </c:pt>
                <c:pt idx="715">
                  <c:v>5.1843278137739812E-2</c:v>
                </c:pt>
                <c:pt idx="716">
                  <c:v>4.7613809197858181E-2</c:v>
                </c:pt>
                <c:pt idx="717">
                  <c:v>4.6580365786498268E-2</c:v>
                </c:pt>
                <c:pt idx="718">
                  <c:v>5.3985048539361369E-2</c:v>
                </c:pt>
                <c:pt idx="719">
                  <c:v>5.0985656011522495E-2</c:v>
                </c:pt>
                <c:pt idx="720">
                  <c:v>5.1291435417219144E-2</c:v>
                </c:pt>
                <c:pt idx="721">
                  <c:v>5.2870503938574842E-2</c:v>
                </c:pt>
                <c:pt idx="722">
                  <c:v>5.5562173151951999E-2</c:v>
                </c:pt>
                <c:pt idx="723">
                  <c:v>4.4586614143351744E-2</c:v>
                </c:pt>
                <c:pt idx="724">
                  <c:v>3.7223352183302083E-2</c:v>
                </c:pt>
                <c:pt idx="725">
                  <c:v>4.10257123274127E-2</c:v>
                </c:pt>
                <c:pt idx="726">
                  <c:v>4.7434183724816892E-2</c:v>
                </c:pt>
                <c:pt idx="727">
                  <c:v>5.0739334834767336E-2</c:v>
                </c:pt>
                <c:pt idx="728">
                  <c:v>5.049559267974657E-2</c:v>
                </c:pt>
                <c:pt idx="729">
                  <c:v>4.9802969463574431E-2</c:v>
                </c:pt>
                <c:pt idx="730">
                  <c:v>5.5805462002650907E-2</c:v>
                </c:pt>
                <c:pt idx="731">
                  <c:v>5.5069266960356744E-2</c:v>
                </c:pt>
                <c:pt idx="732">
                  <c:v>6.1322384047030498E-2</c:v>
                </c:pt>
                <c:pt idx="733">
                  <c:v>6.0066819505231406E-2</c:v>
                </c:pt>
                <c:pt idx="734">
                  <c:v>5.3542656012528722E-2</c:v>
                </c:pt>
                <c:pt idx="735">
                  <c:v>6.3496021110345913E-2</c:v>
                </c:pt>
                <c:pt idx="736">
                  <c:v>5.7244175316719437E-2</c:v>
                </c:pt>
                <c:pt idx="737">
                  <c:v>4.9471625811717157E-2</c:v>
                </c:pt>
                <c:pt idx="738">
                  <c:v>5.6953255609926146E-2</c:v>
                </c:pt>
                <c:pt idx="739">
                  <c:v>5.8011744337478799E-2</c:v>
                </c:pt>
                <c:pt idx="740">
                  <c:v>5.8726454266262662E-2</c:v>
                </c:pt>
                <c:pt idx="741">
                  <c:v>6.199054605856591E-2</c:v>
                </c:pt>
                <c:pt idx="742">
                  <c:v>6.388982068790372E-2</c:v>
                </c:pt>
                <c:pt idx="743">
                  <c:v>4.6858916068529544E-2</c:v>
                </c:pt>
                <c:pt idx="744">
                  <c:v>5.417817634378852E-2</c:v>
                </c:pt>
                <c:pt idx="745">
                  <c:v>6.2964654876237258E-2</c:v>
                </c:pt>
                <c:pt idx="746">
                  <c:v>5.9206448060771244E-2</c:v>
                </c:pt>
                <c:pt idx="747">
                  <c:v>5.7932849282848364E-2</c:v>
                </c:pt>
                <c:pt idx="748">
                  <c:v>5.7035736526071634E-2</c:v>
                </c:pt>
                <c:pt idx="749">
                  <c:v>6.5440766549858642E-2</c:v>
                </c:pt>
                <c:pt idx="750">
                  <c:v>6.6601598046634791E-2</c:v>
                </c:pt>
                <c:pt idx="751">
                  <c:v>6.4949861447988422E-2</c:v>
                </c:pt>
                <c:pt idx="752">
                  <c:v>6.6868683916353922E-2</c:v>
                </c:pt>
                <c:pt idx="753">
                  <c:v>6.5432059260657427E-2</c:v>
                </c:pt>
                <c:pt idx="754">
                  <c:v>6.9545146839317118E-2</c:v>
                </c:pt>
                <c:pt idx="755">
                  <c:v>7.9658919429211439E-2</c:v>
                </c:pt>
                <c:pt idx="756">
                  <c:v>8.0557734631166777E-2</c:v>
                </c:pt>
                <c:pt idx="757">
                  <c:v>7.7233756071424686E-2</c:v>
                </c:pt>
                <c:pt idx="758">
                  <c:v>8.4412008822331241E-2</c:v>
                </c:pt>
                <c:pt idx="759">
                  <c:v>9.0194051758744731E-2</c:v>
                </c:pt>
                <c:pt idx="760">
                  <c:v>8.9478107973393062E-2</c:v>
                </c:pt>
                <c:pt idx="761">
                  <c:v>8.8380841797319309E-2</c:v>
                </c:pt>
                <c:pt idx="762">
                  <c:v>8.9483317637907511E-2</c:v>
                </c:pt>
                <c:pt idx="763">
                  <c:v>8.9465302044954065E-2</c:v>
                </c:pt>
                <c:pt idx="764">
                  <c:v>8.1678864058894129E-2</c:v>
                </c:pt>
                <c:pt idx="765">
                  <c:v>7.9256081491506425E-2</c:v>
                </c:pt>
                <c:pt idx="766">
                  <c:v>8.0964069111021386E-2</c:v>
                </c:pt>
                <c:pt idx="767">
                  <c:v>8.2747502767382963E-2</c:v>
                </c:pt>
                <c:pt idx="768">
                  <c:v>9.0502447975947975E-2</c:v>
                </c:pt>
                <c:pt idx="769">
                  <c:v>9.3078541005428006E-2</c:v>
                </c:pt>
                <c:pt idx="770">
                  <c:v>8.9936427370820748E-2</c:v>
                </c:pt>
                <c:pt idx="771">
                  <c:v>8.8784358129318619E-2</c:v>
                </c:pt>
                <c:pt idx="772">
                  <c:v>8.7665740008139759E-2</c:v>
                </c:pt>
                <c:pt idx="773">
                  <c:v>9.6680373816044662E-2</c:v>
                </c:pt>
                <c:pt idx="774">
                  <c:v>9.9379513517000362E-2</c:v>
                </c:pt>
                <c:pt idx="775">
                  <c:v>9.4368216812683148E-2</c:v>
                </c:pt>
                <c:pt idx="776">
                  <c:v>9.1012668151266629E-2</c:v>
                </c:pt>
                <c:pt idx="777">
                  <c:v>9.469078080107729E-2</c:v>
                </c:pt>
                <c:pt idx="778">
                  <c:v>9.0277408187628527E-2</c:v>
                </c:pt>
                <c:pt idx="779">
                  <c:v>9.3226366069561584E-2</c:v>
                </c:pt>
                <c:pt idx="780">
                  <c:v>9.6344985788871407E-2</c:v>
                </c:pt>
                <c:pt idx="781">
                  <c:v>0.10084502330797029</c:v>
                </c:pt>
                <c:pt idx="782">
                  <c:v>8.470584208351073E-2</c:v>
                </c:pt>
                <c:pt idx="783">
                  <c:v>8.9336402150083094E-2</c:v>
                </c:pt>
                <c:pt idx="784">
                  <c:v>8.0329293883341313E-2</c:v>
                </c:pt>
                <c:pt idx="785">
                  <c:v>7.2340634926108427E-2</c:v>
                </c:pt>
                <c:pt idx="786">
                  <c:v>6.6964494358908055E-2</c:v>
                </c:pt>
                <c:pt idx="787">
                  <c:v>6.3865262408794532E-2</c:v>
                </c:pt>
                <c:pt idx="788">
                  <c:v>6.2630445799270351E-2</c:v>
                </c:pt>
                <c:pt idx="789">
                  <c:v>6.165688502476363E-2</c:v>
                </c:pt>
                <c:pt idx="790">
                  <c:v>6.5510579105245048E-2</c:v>
                </c:pt>
                <c:pt idx="791">
                  <c:v>7.2706442075385791E-2</c:v>
                </c:pt>
                <c:pt idx="792">
                  <c:v>7.1138986803845672E-2</c:v>
                </c:pt>
                <c:pt idx="793">
                  <c:v>6.8710332113902872E-2</c:v>
                </c:pt>
                <c:pt idx="794">
                  <c:v>7.5262202408793666E-2</c:v>
                </c:pt>
                <c:pt idx="795">
                  <c:v>8.0298231390693919E-2</c:v>
                </c:pt>
                <c:pt idx="796">
                  <c:v>6.6150638616164104E-2</c:v>
                </c:pt>
                <c:pt idx="797">
                  <c:v>6.668581381175076E-2</c:v>
                </c:pt>
                <c:pt idx="798">
                  <c:v>7.6963719705377631E-2</c:v>
                </c:pt>
                <c:pt idx="799">
                  <c:v>8.5528700146707992E-2</c:v>
                </c:pt>
                <c:pt idx="800">
                  <c:v>9.2165771732732882E-2</c:v>
                </c:pt>
                <c:pt idx="801">
                  <c:v>9.3422283367299963E-2</c:v>
                </c:pt>
                <c:pt idx="802">
                  <c:v>9.0014567699216119E-2</c:v>
                </c:pt>
                <c:pt idx="803">
                  <c:v>9.7173081245820248E-2</c:v>
                </c:pt>
                <c:pt idx="804">
                  <c:v>9.6271031825822861E-2</c:v>
                </c:pt>
                <c:pt idx="805">
                  <c:v>9.7589440768957481E-2</c:v>
                </c:pt>
                <c:pt idx="806">
                  <c:v>0.10299879247696397</c:v>
                </c:pt>
                <c:pt idx="807">
                  <c:v>0.11474949362337816</c:v>
                </c:pt>
                <c:pt idx="808">
                  <c:v>0.11257106035239284</c:v>
                </c:pt>
                <c:pt idx="809">
                  <c:v>0.11479957564663357</c:v>
                </c:pt>
                <c:pt idx="810">
                  <c:v>0.11572867767755368</c:v>
                </c:pt>
                <c:pt idx="811">
                  <c:v>0.11557142844052204</c:v>
                </c:pt>
                <c:pt idx="812">
                  <c:v>0.10909852063640857</c:v>
                </c:pt>
                <c:pt idx="813">
                  <c:v>9.938054699916421E-2</c:v>
                </c:pt>
                <c:pt idx="814">
                  <c:v>0.10461664764560297</c:v>
                </c:pt>
                <c:pt idx="815">
                  <c:v>0.10398921454061272</c:v>
                </c:pt>
                <c:pt idx="816">
                  <c:v>9.3473089628552941E-2</c:v>
                </c:pt>
                <c:pt idx="817">
                  <c:v>9.5846601193969594E-2</c:v>
                </c:pt>
                <c:pt idx="818">
                  <c:v>9.9779601709031107E-2</c:v>
                </c:pt>
                <c:pt idx="819">
                  <c:v>0.10336210774106647</c:v>
                </c:pt>
                <c:pt idx="820">
                  <c:v>0.10198386529839931</c:v>
                </c:pt>
                <c:pt idx="821">
                  <c:v>0.11136720650248111</c:v>
                </c:pt>
                <c:pt idx="822">
                  <c:v>0.11313269982041585</c:v>
                </c:pt>
                <c:pt idx="823">
                  <c:v>0.10053249504534212</c:v>
                </c:pt>
                <c:pt idx="824">
                  <c:v>0.10354466967683029</c:v>
                </c:pt>
                <c:pt idx="825">
                  <c:v>0.10449593956946113</c:v>
                </c:pt>
                <c:pt idx="826">
                  <c:v>0.11340593026379131</c:v>
                </c:pt>
                <c:pt idx="827">
                  <c:v>0.11384585113117773</c:v>
                </c:pt>
                <c:pt idx="828">
                  <c:v>0.11352638171797813</c:v>
                </c:pt>
                <c:pt idx="829">
                  <c:v>0.11489066197572906</c:v>
                </c:pt>
                <c:pt idx="830">
                  <c:v>0.12001666184222315</c:v>
                </c:pt>
                <c:pt idx="831">
                  <c:v>0.11842549298213245</c:v>
                </c:pt>
                <c:pt idx="832">
                  <c:v>0.11546779031161192</c:v>
                </c:pt>
                <c:pt idx="833">
                  <c:v>0.11755237945318209</c:v>
                </c:pt>
                <c:pt idx="834">
                  <c:v>0.11651767895212073</c:v>
                </c:pt>
                <c:pt idx="835">
                  <c:v>0.11210868062382606</c:v>
                </c:pt>
                <c:pt idx="836">
                  <c:v>0.11686599880786064</c:v>
                </c:pt>
                <c:pt idx="837">
                  <c:v>0.11398317512353717</c:v>
                </c:pt>
                <c:pt idx="838">
                  <c:v>0.11202714875294606</c:v>
                </c:pt>
                <c:pt idx="839">
                  <c:v>0.1169165540264292</c:v>
                </c:pt>
                <c:pt idx="840">
                  <c:v>0.12485071414254967</c:v>
                </c:pt>
                <c:pt idx="841">
                  <c:v>0.13087858334206359</c:v>
                </c:pt>
                <c:pt idx="842">
                  <c:v>0.12949227159563614</c:v>
                </c:pt>
                <c:pt idx="843">
                  <c:v>0.12793164105277444</c:v>
                </c:pt>
                <c:pt idx="844">
                  <c:v>0.13449397665796647</c:v>
                </c:pt>
                <c:pt idx="845">
                  <c:v>0.14291352326748985</c:v>
                </c:pt>
                <c:pt idx="846">
                  <c:v>0.14808876646145075</c:v>
                </c:pt>
                <c:pt idx="847">
                  <c:v>0.14691230342384221</c:v>
                </c:pt>
                <c:pt idx="848">
                  <c:v>0.15730344168018018</c:v>
                </c:pt>
                <c:pt idx="849">
                  <c:v>0.15028004528357131</c:v>
                </c:pt>
                <c:pt idx="850">
                  <c:v>0.1416088574343195</c:v>
                </c:pt>
                <c:pt idx="851">
                  <c:v>0.1336914746583302</c:v>
                </c:pt>
                <c:pt idx="852">
                  <c:v>0.14056400483317577</c:v>
                </c:pt>
                <c:pt idx="853">
                  <c:v>0.13897685461978782</c:v>
                </c:pt>
                <c:pt idx="854">
                  <c:v>0.12491515540581943</c:v>
                </c:pt>
                <c:pt idx="855">
                  <c:v>0.12338919362311018</c:v>
                </c:pt>
                <c:pt idx="856">
                  <c:v>0.13276247577982203</c:v>
                </c:pt>
                <c:pt idx="857">
                  <c:v>0.13194098975066892</c:v>
                </c:pt>
                <c:pt idx="858">
                  <c:v>0.1323802185388121</c:v>
                </c:pt>
                <c:pt idx="859">
                  <c:v>0.14675104204551448</c:v>
                </c:pt>
                <c:pt idx="860">
                  <c:v>0.13660390491983043</c:v>
                </c:pt>
                <c:pt idx="861">
                  <c:v>0.12946163364146934</c:v>
                </c:pt>
                <c:pt idx="862">
                  <c:v>0.11187991326596958</c:v>
                </c:pt>
                <c:pt idx="863">
                  <c:v>0.11248562128826234</c:v>
                </c:pt>
                <c:pt idx="864">
                  <c:v>0.10970239601808185</c:v>
                </c:pt>
                <c:pt idx="865">
                  <c:v>0.12334815466103799</c:v>
                </c:pt>
                <c:pt idx="866">
                  <c:v>0.1279196443814834</c:v>
                </c:pt>
                <c:pt idx="867">
                  <c:v>0.13064616629775383</c:v>
                </c:pt>
                <c:pt idx="868">
                  <c:v>0.1407220527564863</c:v>
                </c:pt>
                <c:pt idx="869">
                  <c:v>0.14049317907918457</c:v>
                </c:pt>
                <c:pt idx="870">
                  <c:v>0.14862616712724885</c:v>
                </c:pt>
                <c:pt idx="871">
                  <c:v>0.15346240783233944</c:v>
                </c:pt>
                <c:pt idx="872">
                  <c:v>0.16000133164881358</c:v>
                </c:pt>
                <c:pt idx="873">
                  <c:v>0.15863614684628935</c:v>
                </c:pt>
                <c:pt idx="874">
                  <c:v>0.16254221882938857</c:v>
                </c:pt>
                <c:pt idx="875">
                  <c:v>0.15473130028523019</c:v>
                </c:pt>
                <c:pt idx="876">
                  <c:v>0.17032334050703901</c:v>
                </c:pt>
                <c:pt idx="877">
                  <c:v>0.16850803850392193</c:v>
                </c:pt>
                <c:pt idx="878">
                  <c:v>0.16846637929524433</c:v>
                </c:pt>
                <c:pt idx="879">
                  <c:v>0.16253547985692429</c:v>
                </c:pt>
                <c:pt idx="880">
                  <c:v>0.16424936775432153</c:v>
                </c:pt>
                <c:pt idx="881">
                  <c:v>0.16477922518674437</c:v>
                </c:pt>
                <c:pt idx="882">
                  <c:v>0.15318374704869919</c:v>
                </c:pt>
                <c:pt idx="883">
                  <c:v>0.1545026160065186</c:v>
                </c:pt>
                <c:pt idx="884">
                  <c:v>0.15632366400212927</c:v>
                </c:pt>
                <c:pt idx="885">
                  <c:v>0.14457208022559742</c:v>
                </c:pt>
                <c:pt idx="886">
                  <c:v>0.15161188893985278</c:v>
                </c:pt>
                <c:pt idx="887">
                  <c:v>0.153578933510228</c:v>
                </c:pt>
                <c:pt idx="888">
                  <c:v>0.15879193100999101</c:v>
                </c:pt>
                <c:pt idx="889">
                  <c:v>0.16681446185768589</c:v>
                </c:pt>
                <c:pt idx="890">
                  <c:v>0.17402282380141099</c:v>
                </c:pt>
                <c:pt idx="891">
                  <c:v>0.17807212298844544</c:v>
                </c:pt>
                <c:pt idx="892">
                  <c:v>0.17736859464603372</c:v>
                </c:pt>
                <c:pt idx="893">
                  <c:v>0.17255294488584294</c:v>
                </c:pt>
                <c:pt idx="894">
                  <c:v>0.18596942048345366</c:v>
                </c:pt>
                <c:pt idx="895">
                  <c:v>0.18403834829618071</c:v>
                </c:pt>
                <c:pt idx="896">
                  <c:v>0.18594676768427165</c:v>
                </c:pt>
                <c:pt idx="897">
                  <c:v>0.19425942578411859</c:v>
                </c:pt>
                <c:pt idx="898">
                  <c:v>0.18776070229110853</c:v>
                </c:pt>
                <c:pt idx="899">
                  <c:v>0.19427640266396473</c:v>
                </c:pt>
                <c:pt idx="900">
                  <c:v>0.19484792937866446</c:v>
                </c:pt>
                <c:pt idx="901">
                  <c:v>0.19251859773254054</c:v>
                </c:pt>
                <c:pt idx="902">
                  <c:v>0.19251965789616143</c:v>
                </c:pt>
                <c:pt idx="903">
                  <c:v>0.19349582585707004</c:v>
                </c:pt>
                <c:pt idx="904">
                  <c:v>0.18860084054150517</c:v>
                </c:pt>
                <c:pt idx="905">
                  <c:v>0.19031486361392425</c:v>
                </c:pt>
                <c:pt idx="906">
                  <c:v>0.18596362949418976</c:v>
                </c:pt>
                <c:pt idx="907">
                  <c:v>0.18368983864436594</c:v>
                </c:pt>
                <c:pt idx="908">
                  <c:v>0.18237966534722805</c:v>
                </c:pt>
                <c:pt idx="909">
                  <c:v>0.18286107507303084</c:v>
                </c:pt>
                <c:pt idx="910">
                  <c:v>0.18897348151227189</c:v>
                </c:pt>
                <c:pt idx="911">
                  <c:v>0.19008728748858039</c:v>
                </c:pt>
                <c:pt idx="912">
                  <c:v>0.18612817758102107</c:v>
                </c:pt>
                <c:pt idx="913">
                  <c:v>0.19158891626644614</c:v>
                </c:pt>
                <c:pt idx="914">
                  <c:v>0.18822218575957828</c:v>
                </c:pt>
                <c:pt idx="915">
                  <c:v>0.19226185958195097</c:v>
                </c:pt>
                <c:pt idx="916">
                  <c:v>0.18328916246988425</c:v>
                </c:pt>
                <c:pt idx="917">
                  <c:v>0.18497738470270297</c:v>
                </c:pt>
                <c:pt idx="918">
                  <c:v>0.17792182257519551</c:v>
                </c:pt>
                <c:pt idx="919">
                  <c:v>0.18190105519506949</c:v>
                </c:pt>
                <c:pt idx="920">
                  <c:v>0.18054389519562508</c:v>
                </c:pt>
                <c:pt idx="921">
                  <c:v>0.18104613851769136</c:v>
                </c:pt>
                <c:pt idx="922">
                  <c:v>0.18169531904907643</c:v>
                </c:pt>
                <c:pt idx="923">
                  <c:v>0.18098673597848691</c:v>
                </c:pt>
                <c:pt idx="924">
                  <c:v>0.17079977930742074</c:v>
                </c:pt>
                <c:pt idx="925">
                  <c:v>0.16776871357932732</c:v>
                </c:pt>
                <c:pt idx="926">
                  <c:v>0.17427120811521446</c:v>
                </c:pt>
                <c:pt idx="927">
                  <c:v>0.18428567990924227</c:v>
                </c:pt>
                <c:pt idx="928">
                  <c:v>0.18174038850977792</c:v>
                </c:pt>
                <c:pt idx="929">
                  <c:v>0.19475378418211498</c:v>
                </c:pt>
                <c:pt idx="930">
                  <c:v>0.19347144024938601</c:v>
                </c:pt>
                <c:pt idx="931">
                  <c:v>0.18878702274738601</c:v>
                </c:pt>
                <c:pt idx="932">
                  <c:v>0.17668236575974761</c:v>
                </c:pt>
                <c:pt idx="933">
                  <c:v>0.1723245961269384</c:v>
                </c:pt>
                <c:pt idx="934">
                  <c:v>0.16845704714869814</c:v>
                </c:pt>
                <c:pt idx="935">
                  <c:v>0.16229182221124638</c:v>
                </c:pt>
                <c:pt idx="936">
                  <c:v>0.17070104624572102</c:v>
                </c:pt>
                <c:pt idx="937">
                  <c:v>0.17497535279230081</c:v>
                </c:pt>
                <c:pt idx="938">
                  <c:v>0.17436708442069548</c:v>
                </c:pt>
                <c:pt idx="939">
                  <c:v>0.17858397910845958</c:v>
                </c:pt>
                <c:pt idx="940">
                  <c:v>0.18354097214218723</c:v>
                </c:pt>
                <c:pt idx="941">
                  <c:v>0.18839485571598824</c:v>
                </c:pt>
                <c:pt idx="942">
                  <c:v>0.18728838026206107</c:v>
                </c:pt>
                <c:pt idx="943">
                  <c:v>0.18908476041131084</c:v>
                </c:pt>
                <c:pt idx="944">
                  <c:v>0.19518703159255901</c:v>
                </c:pt>
                <c:pt idx="945">
                  <c:v>0.19437782284780325</c:v>
                </c:pt>
                <c:pt idx="946">
                  <c:v>0.19412725629948269</c:v>
                </c:pt>
                <c:pt idx="947">
                  <c:v>0.19831928627576922</c:v>
                </c:pt>
                <c:pt idx="948">
                  <c:v>0.19682875380897946</c:v>
                </c:pt>
                <c:pt idx="949">
                  <c:v>0.19806980936331398</c:v>
                </c:pt>
                <c:pt idx="950">
                  <c:v>0.19884929134649965</c:v>
                </c:pt>
                <c:pt idx="951">
                  <c:v>0.19459917801381166</c:v>
                </c:pt>
                <c:pt idx="952">
                  <c:v>0.19912891605894156</c:v>
                </c:pt>
                <c:pt idx="953">
                  <c:v>0.1908385294477799</c:v>
                </c:pt>
                <c:pt idx="954">
                  <c:v>0.18686543545751966</c:v>
                </c:pt>
                <c:pt idx="955">
                  <c:v>0.18843050437239195</c:v>
                </c:pt>
                <c:pt idx="956">
                  <c:v>0.18457208760711019</c:v>
                </c:pt>
                <c:pt idx="957">
                  <c:v>0.15788331825271773</c:v>
                </c:pt>
                <c:pt idx="958">
                  <c:v>0.1531366981745137</c:v>
                </c:pt>
                <c:pt idx="959">
                  <c:v>0.16126994427746766</c:v>
                </c:pt>
                <c:pt idx="960">
                  <c:v>0.16189243170523282</c:v>
                </c:pt>
                <c:pt idx="961">
                  <c:v>0.16825121306607982</c:v>
                </c:pt>
                <c:pt idx="962">
                  <c:v>0.17030712463029096</c:v>
                </c:pt>
                <c:pt idx="963">
                  <c:v>0.16300428035041836</c:v>
                </c:pt>
                <c:pt idx="964">
                  <c:v>0.16043339289884062</c:v>
                </c:pt>
                <c:pt idx="965">
                  <c:v>0.16005500402024575</c:v>
                </c:pt>
                <c:pt idx="966">
                  <c:v>0.1612022907521633</c:v>
                </c:pt>
                <c:pt idx="967">
                  <c:v>0.16623490422162224</c:v>
                </c:pt>
                <c:pt idx="968">
                  <c:v>0.16743015677596151</c:v>
                </c:pt>
                <c:pt idx="969">
                  <c:v>0.16081463520431272</c:v>
                </c:pt>
                <c:pt idx="970">
                  <c:v>0.16108159819329559</c:v>
                </c:pt>
                <c:pt idx="971">
                  <c:v>0.15160043861078565</c:v>
                </c:pt>
                <c:pt idx="972">
                  <c:v>0.15112060979860709</c:v>
                </c:pt>
                <c:pt idx="973">
                  <c:v>0.15512118591568069</c:v>
                </c:pt>
                <c:pt idx="974">
                  <c:v>0.17096398224911336</c:v>
                </c:pt>
                <c:pt idx="975">
                  <c:v>0.17378784085927723</c:v>
                </c:pt>
                <c:pt idx="976">
                  <c:v>0.17740651332182655</c:v>
                </c:pt>
                <c:pt idx="977">
                  <c:v>0.18870765001059175</c:v>
                </c:pt>
                <c:pt idx="978">
                  <c:v>0.18719757210837518</c:v>
                </c:pt>
                <c:pt idx="979">
                  <c:v>0.18863492007228366</c:v>
                </c:pt>
                <c:pt idx="980">
                  <c:v>0.19066816277969445</c:v>
                </c:pt>
                <c:pt idx="981">
                  <c:v>0.18497563940670325</c:v>
                </c:pt>
                <c:pt idx="982">
                  <c:v>0.18751532036089769</c:v>
                </c:pt>
                <c:pt idx="983">
                  <c:v>0.18465271772880065</c:v>
                </c:pt>
                <c:pt idx="984">
                  <c:v>0.19319471241316744</c:v>
                </c:pt>
                <c:pt idx="985">
                  <c:v>0.18803107747500314</c:v>
                </c:pt>
                <c:pt idx="986">
                  <c:v>0.18552854488201276</c:v>
                </c:pt>
                <c:pt idx="987">
                  <c:v>0.19406051526290158</c:v>
                </c:pt>
                <c:pt idx="988">
                  <c:v>0.20127783222510387</c:v>
                </c:pt>
                <c:pt idx="989">
                  <c:v>0.2022482456725494</c:v>
                </c:pt>
                <c:pt idx="990">
                  <c:v>0.19603370502770345</c:v>
                </c:pt>
                <c:pt idx="991">
                  <c:v>0.20323786822258061</c:v>
                </c:pt>
                <c:pt idx="992">
                  <c:v>0.20224847038903526</c:v>
                </c:pt>
                <c:pt idx="993">
                  <c:v>0.19725029790172477</c:v>
                </c:pt>
                <c:pt idx="994">
                  <c:v>0.20881628199591096</c:v>
                </c:pt>
                <c:pt idx="995">
                  <c:v>0.2096343863103538</c:v>
                </c:pt>
                <c:pt idx="996">
                  <c:v>0.21344977383184571</c:v>
                </c:pt>
                <c:pt idx="997">
                  <c:v>0.21352341086311433</c:v>
                </c:pt>
                <c:pt idx="998">
                  <c:v>0.21466435213920043</c:v>
                </c:pt>
                <c:pt idx="999">
                  <c:v>0.20648404783313468</c:v>
                </c:pt>
                <c:pt idx="1000">
                  <c:v>0.20398671540191193</c:v>
                </c:pt>
                <c:pt idx="1001">
                  <c:v>0.20516057722281</c:v>
                </c:pt>
                <c:pt idx="1002">
                  <c:v>0.20680962181085305</c:v>
                </c:pt>
                <c:pt idx="1003">
                  <c:v>0.19535029188332254</c:v>
                </c:pt>
                <c:pt idx="1004">
                  <c:v>0.20031932732198432</c:v>
                </c:pt>
                <c:pt idx="1005">
                  <c:v>0.19595476679369073</c:v>
                </c:pt>
                <c:pt idx="1006">
                  <c:v>0.19231490052359024</c:v>
                </c:pt>
                <c:pt idx="1007">
                  <c:v>0.20043364896671956</c:v>
                </c:pt>
                <c:pt idx="1008">
                  <c:v>0.18806252345466246</c:v>
                </c:pt>
                <c:pt idx="1009">
                  <c:v>0.19226487618939303</c:v>
                </c:pt>
                <c:pt idx="1010">
                  <c:v>0.17779109975389629</c:v>
                </c:pt>
                <c:pt idx="1011">
                  <c:v>0.17571590366455592</c:v>
                </c:pt>
                <c:pt idx="1012">
                  <c:v>0.17782244015519488</c:v>
                </c:pt>
                <c:pt idx="1013">
                  <c:v>0.17269800658594248</c:v>
                </c:pt>
                <c:pt idx="1014">
                  <c:v>0.1851002204539236</c:v>
                </c:pt>
                <c:pt idx="1015">
                  <c:v>0.19445209296217469</c:v>
                </c:pt>
                <c:pt idx="1016">
                  <c:v>0.19099181893654493</c:v>
                </c:pt>
                <c:pt idx="1017">
                  <c:v>0.19869423024396204</c:v>
                </c:pt>
                <c:pt idx="1018">
                  <c:v>0.19558401354000132</c:v>
                </c:pt>
                <c:pt idx="1019">
                  <c:v>0.1907756349292602</c:v>
                </c:pt>
                <c:pt idx="1020">
                  <c:v>0.19734475359965931</c:v>
                </c:pt>
                <c:pt idx="1021">
                  <c:v>0.19752225046329541</c:v>
                </c:pt>
                <c:pt idx="1022">
                  <c:v>0.19006119331606919</c:v>
                </c:pt>
                <c:pt idx="1023">
                  <c:v>0.19013016900406821</c:v>
                </c:pt>
                <c:pt idx="1024">
                  <c:v>0.18366137972459962</c:v>
                </c:pt>
                <c:pt idx="1025">
                  <c:v>0.18809127620343236</c:v>
                </c:pt>
                <c:pt idx="1026">
                  <c:v>0.19132257831636124</c:v>
                </c:pt>
                <c:pt idx="1027">
                  <c:v>0.19630465918294093</c:v>
                </c:pt>
                <c:pt idx="1028">
                  <c:v>0.16767836190355689</c:v>
                </c:pt>
                <c:pt idx="1029">
                  <c:v>0.12956716286535386</c:v>
                </c:pt>
                <c:pt idx="1030">
                  <c:v>0.11042150219875557</c:v>
                </c:pt>
                <c:pt idx="1031">
                  <c:v>9.5396632310127405E-2</c:v>
                </c:pt>
                <c:pt idx="1032">
                  <c:v>0.15341857185559427</c:v>
                </c:pt>
                <c:pt idx="1033">
                  <c:v>0.13003226341183471</c:v>
                </c:pt>
                <c:pt idx="1034">
                  <c:v>0.1446988301172194</c:v>
                </c:pt>
                <c:pt idx="1035">
                  <c:v>0.15327056974982534</c:v>
                </c:pt>
                <c:pt idx="1036">
                  <c:v>0.15597380992046594</c:v>
                </c:pt>
                <c:pt idx="1037">
                  <c:v>0.15412849260404515</c:v>
                </c:pt>
                <c:pt idx="1038">
                  <c:v>0.15813508048010361</c:v>
                </c:pt>
                <c:pt idx="1039">
                  <c:v>0.14731099103170631</c:v>
                </c:pt>
                <c:pt idx="1040">
                  <c:v>0.16036031872447731</c:v>
                </c:pt>
                <c:pt idx="1041">
                  <c:v>0.16607709381979374</c:v>
                </c:pt>
                <c:pt idx="1042">
                  <c:v>0.18128857176942903</c:v>
                </c:pt>
                <c:pt idx="1043">
                  <c:v>0.18398038280775975</c:v>
                </c:pt>
                <c:pt idx="1044">
                  <c:v>0.1879988594050821</c:v>
                </c:pt>
                <c:pt idx="1045">
                  <c:v>0.19030452990682623</c:v>
                </c:pt>
                <c:pt idx="1046">
                  <c:v>0.18596261674209824</c:v>
                </c:pt>
                <c:pt idx="1047">
                  <c:v>0.18583083102384901</c:v>
                </c:pt>
                <c:pt idx="1048">
                  <c:v>0.19585423315662887</c:v>
                </c:pt>
                <c:pt idx="1049">
                  <c:v>0.19611749983926874</c:v>
                </c:pt>
                <c:pt idx="1050">
                  <c:v>0.19697347946602894</c:v>
                </c:pt>
                <c:pt idx="1051">
                  <c:v>0.19498746816375956</c:v>
                </c:pt>
                <c:pt idx="1052">
                  <c:v>0.19472474112706739</c:v>
                </c:pt>
                <c:pt idx="1053">
                  <c:v>0.19790229992903274</c:v>
                </c:pt>
                <c:pt idx="1054">
                  <c:v>0.20919385874345653</c:v>
                </c:pt>
                <c:pt idx="1055">
                  <c:v>0.21255735860834002</c:v>
                </c:pt>
                <c:pt idx="1056">
                  <c:v>0.20711228673752524</c:v>
                </c:pt>
                <c:pt idx="1057">
                  <c:v>0.21433824913233157</c:v>
                </c:pt>
                <c:pt idx="1058">
                  <c:v>0.21668535590976346</c:v>
                </c:pt>
                <c:pt idx="1059">
                  <c:v>0.21844772690887138</c:v>
                </c:pt>
                <c:pt idx="1060">
                  <c:v>0.21962772663552044</c:v>
                </c:pt>
                <c:pt idx="1061">
                  <c:v>0.20643888574078884</c:v>
                </c:pt>
                <c:pt idx="1062">
                  <c:v>0.20603275308672186</c:v>
                </c:pt>
                <c:pt idx="1063">
                  <c:v>0.20803069788563766</c:v>
                </c:pt>
                <c:pt idx="1064">
                  <c:v>0.21877286608365432</c:v>
                </c:pt>
                <c:pt idx="1065">
                  <c:v>0.21333330704977671</c:v>
                </c:pt>
                <c:pt idx="1066">
                  <c:v>0.21800157423447253</c:v>
                </c:pt>
                <c:pt idx="1067">
                  <c:v>0.21552353006787661</c:v>
                </c:pt>
                <c:pt idx="1068">
                  <c:v>0.22240000402377613</c:v>
                </c:pt>
                <c:pt idx="1069">
                  <c:v>0.22441926686336733</c:v>
                </c:pt>
                <c:pt idx="1070">
                  <c:v>0.23001712077555192</c:v>
                </c:pt>
                <c:pt idx="1071">
                  <c:v>0.22837097580065246</c:v>
                </c:pt>
                <c:pt idx="1072">
                  <c:v>0.22995222567935425</c:v>
                </c:pt>
                <c:pt idx="1073">
                  <c:v>0.23313212096812408</c:v>
                </c:pt>
                <c:pt idx="1074">
                  <c:v>0.23754431007358923</c:v>
                </c:pt>
                <c:pt idx="1075">
                  <c:v>0.23945283063226497</c:v>
                </c:pt>
                <c:pt idx="1076">
                  <c:v>0.24482461686296575</c:v>
                </c:pt>
                <c:pt idx="1077">
                  <c:v>0.23873335018726149</c:v>
                </c:pt>
                <c:pt idx="1078">
                  <c:v>0.24109204865709355</c:v>
                </c:pt>
                <c:pt idx="1079">
                  <c:v>0.23936878435473563</c:v>
                </c:pt>
                <c:pt idx="1080">
                  <c:v>0.24058330738529521</c:v>
                </c:pt>
                <c:pt idx="1081">
                  <c:v>0.23888620720098808</c:v>
                </c:pt>
                <c:pt idx="1082">
                  <c:v>0.24305179764956741</c:v>
                </c:pt>
                <c:pt idx="1083">
                  <c:v>0.24907837068016625</c:v>
                </c:pt>
                <c:pt idx="1084">
                  <c:v>0.24540175563682087</c:v>
                </c:pt>
                <c:pt idx="1085">
                  <c:v>0.25246311345457073</c:v>
                </c:pt>
                <c:pt idx="1086">
                  <c:v>0.25058832486407745</c:v>
                </c:pt>
                <c:pt idx="1087">
                  <c:v>0.25667949515212674</c:v>
                </c:pt>
                <c:pt idx="1088">
                  <c:v>0.25919512584320081</c:v>
                </c:pt>
                <c:pt idx="1089">
                  <c:v>0.26445537724853718</c:v>
                </c:pt>
                <c:pt idx="1090">
                  <c:v>0.26586750883349297</c:v>
                </c:pt>
                <c:pt idx="1091">
                  <c:v>0.25682502908649263</c:v>
                </c:pt>
                <c:pt idx="1092">
                  <c:v>0.2573241596311433</c:v>
                </c:pt>
                <c:pt idx="1093">
                  <c:v>0.26333710953601241</c:v>
                </c:pt>
                <c:pt idx="1094">
                  <c:v>0.26473327586175932</c:v>
                </c:pt>
                <c:pt idx="1095">
                  <c:v>0.2609994591491156</c:v>
                </c:pt>
                <c:pt idx="1096">
                  <c:v>0.26163224593528089</c:v>
                </c:pt>
                <c:pt idx="1097">
                  <c:v>0.2548658528780352</c:v>
                </c:pt>
                <c:pt idx="1098">
                  <c:v>0.25982221082042289</c:v>
                </c:pt>
                <c:pt idx="1099">
                  <c:v>0.26436797068254858</c:v>
                </c:pt>
                <c:pt idx="1100">
                  <c:v>0.26438454875548345</c:v>
                </c:pt>
                <c:pt idx="1101">
                  <c:v>0.26963147376252095</c:v>
                </c:pt>
                <c:pt idx="1102">
                  <c:v>0.27463590309829122</c:v>
                </c:pt>
                <c:pt idx="1103">
                  <c:v>0.27888531753597046</c:v>
                </c:pt>
                <c:pt idx="1104">
                  <c:v>0.27474806218698133</c:v>
                </c:pt>
                <c:pt idx="1105">
                  <c:v>0.2746590463568892</c:v>
                </c:pt>
                <c:pt idx="1106">
                  <c:v>0.26994557271121034</c:v>
                </c:pt>
                <c:pt idx="1107">
                  <c:v>0.27526572430457752</c:v>
                </c:pt>
                <c:pt idx="1108">
                  <c:v>0.26807923772729625</c:v>
                </c:pt>
                <c:pt idx="1109">
                  <c:v>0.26292312412723917</c:v>
                </c:pt>
                <c:pt idx="1110">
                  <c:v>0.25975962234464833</c:v>
                </c:pt>
                <c:pt idx="1111">
                  <c:v>0.2703972976555955</c:v>
                </c:pt>
                <c:pt idx="1112">
                  <c:v>0.26989976203496657</c:v>
                </c:pt>
                <c:pt idx="1113">
                  <c:v>0.27119581114055613</c:v>
                </c:pt>
                <c:pt idx="1114">
                  <c:v>0.27402890219646237</c:v>
                </c:pt>
                <c:pt idx="1115">
                  <c:v>0.27471479077522098</c:v>
                </c:pt>
                <c:pt idx="1116">
                  <c:v>0.27165419493300158</c:v>
                </c:pt>
                <c:pt idx="1117">
                  <c:v>0.27969115309369896</c:v>
                </c:pt>
                <c:pt idx="1118">
                  <c:v>0.28738788105088942</c:v>
                </c:pt>
                <c:pt idx="1119">
                  <c:v>0.28183387275239724</c:v>
                </c:pt>
                <c:pt idx="1120">
                  <c:v>0.28065347341250346</c:v>
                </c:pt>
                <c:pt idx="1121">
                  <c:v>0.2798248393712397</c:v>
                </c:pt>
                <c:pt idx="1122">
                  <c:v>0.27756806417346724</c:v>
                </c:pt>
                <c:pt idx="1123">
                  <c:v>0.27947250676206536</c:v>
                </c:pt>
                <c:pt idx="1124">
                  <c:v>0.27641032182340752</c:v>
                </c:pt>
                <c:pt idx="1125">
                  <c:v>0.29428579489680962</c:v>
                </c:pt>
                <c:pt idx="1126">
                  <c:v>0.28896047396629454</c:v>
                </c:pt>
                <c:pt idx="1127">
                  <c:v>0.29054766889569228</c:v>
                </c:pt>
                <c:pt idx="1128">
                  <c:v>0.29205551557723064</c:v>
                </c:pt>
                <c:pt idx="1129">
                  <c:v>0.29642413561850267</c:v>
                </c:pt>
                <c:pt idx="1130">
                  <c:v>0.29322505547474109</c:v>
                </c:pt>
                <c:pt idx="1131">
                  <c:v>0.29070124787068585</c:v>
                </c:pt>
                <c:pt idx="1132">
                  <c:v>0.295037282080715</c:v>
                </c:pt>
                <c:pt idx="1133">
                  <c:v>0.30060340822029619</c:v>
                </c:pt>
                <c:pt idx="1134">
                  <c:v>0.30750783570220541</c:v>
                </c:pt>
                <c:pt idx="1135">
                  <c:v>0.31413075866066986</c:v>
                </c:pt>
                <c:pt idx="1136">
                  <c:v>0.31288428852016459</c:v>
                </c:pt>
                <c:pt idx="1137">
                  <c:v>0.31604325548857459</c:v>
                </c:pt>
                <c:pt idx="1138">
                  <c:v>0.32506778146581983</c:v>
                </c:pt>
                <c:pt idx="1139">
                  <c:v>0.32314361212221177</c:v>
                </c:pt>
                <c:pt idx="1140">
                  <c:v>0.32973117227982995</c:v>
                </c:pt>
                <c:pt idx="1141">
                  <c:v>0.33070374310741757</c:v>
                </c:pt>
                <c:pt idx="1142">
                  <c:v>0.3276966861613404</c:v>
                </c:pt>
                <c:pt idx="1143">
                  <c:v>0.3299433391264337</c:v>
                </c:pt>
                <c:pt idx="1144">
                  <c:v>0.32898325721706057</c:v>
                </c:pt>
                <c:pt idx="1145">
                  <c:v>0.33289929351438263</c:v>
                </c:pt>
                <c:pt idx="1146">
                  <c:v>0.33458703741555174</c:v>
                </c:pt>
                <c:pt idx="1147">
                  <c:v>0.32911970203373397</c:v>
                </c:pt>
                <c:pt idx="1148">
                  <c:v>0.32579536254090291</c:v>
                </c:pt>
                <c:pt idx="1149">
                  <c:v>0.33046132716824506</c:v>
                </c:pt>
                <c:pt idx="1150">
                  <c:v>0.33559096147131284</c:v>
                </c:pt>
                <c:pt idx="1151">
                  <c:v>0.33780607917897987</c:v>
                </c:pt>
                <c:pt idx="1152">
                  <c:v>0.34222907739489661</c:v>
                </c:pt>
                <c:pt idx="1153">
                  <c:v>0.3430800567137311</c:v>
                </c:pt>
                <c:pt idx="1154">
                  <c:v>0.34567650264599092</c:v>
                </c:pt>
                <c:pt idx="1155">
                  <c:v>0.34880304431773568</c:v>
                </c:pt>
                <c:pt idx="1156">
                  <c:v>0.34637367177945633</c:v>
                </c:pt>
                <c:pt idx="1157">
                  <c:v>0.35194786406972756</c:v>
                </c:pt>
                <c:pt idx="1158">
                  <c:v>0.34422601730781888</c:v>
                </c:pt>
                <c:pt idx="1159">
                  <c:v>0.32724067134692136</c:v>
                </c:pt>
                <c:pt idx="1160">
                  <c:v>0.34432590022446141</c:v>
                </c:pt>
                <c:pt idx="1161">
                  <c:v>0.34638268048514265</c:v>
                </c:pt>
                <c:pt idx="1162">
                  <c:v>0.35512271916609905</c:v>
                </c:pt>
                <c:pt idx="1163">
                  <c:v>0.35620909129973288</c:v>
                </c:pt>
                <c:pt idx="1164">
                  <c:v>0.35523709526561298</c:v>
                </c:pt>
                <c:pt idx="1165">
                  <c:v>0.37003745305162172</c:v>
                </c:pt>
                <c:pt idx="1166">
                  <c:v>0.35914832193425084</c:v>
                </c:pt>
                <c:pt idx="1167">
                  <c:v>0.35790410583786292</c:v>
                </c:pt>
                <c:pt idx="1168">
                  <c:v>0.36374759307537063</c:v>
                </c:pt>
                <c:pt idx="1169">
                  <c:v>0.36886262163676675</c:v>
                </c:pt>
                <c:pt idx="1170">
                  <c:v>0.37244866682250843</c:v>
                </c:pt>
                <c:pt idx="1171">
                  <c:v>0.36911428289132187</c:v>
                </c:pt>
                <c:pt idx="1172">
                  <c:v>0.36307116633099312</c:v>
                </c:pt>
                <c:pt idx="1173">
                  <c:v>0.35866934244262838</c:v>
                </c:pt>
                <c:pt idx="1174">
                  <c:v>0.35943668233621473</c:v>
                </c:pt>
                <c:pt idx="1175">
                  <c:v>0.36047830866079922</c:v>
                </c:pt>
                <c:pt idx="1176">
                  <c:v>0.34961296059451041</c:v>
                </c:pt>
                <c:pt idx="1177">
                  <c:v>0.3531609025563589</c:v>
                </c:pt>
                <c:pt idx="1178">
                  <c:v>0.34845804336088126</c:v>
                </c:pt>
                <c:pt idx="1179">
                  <c:v>0.35125584411385002</c:v>
                </c:pt>
                <c:pt idx="1180">
                  <c:v>0.36430453409763253</c:v>
                </c:pt>
                <c:pt idx="1181">
                  <c:v>0.3692279020340461</c:v>
                </c:pt>
                <c:pt idx="1182">
                  <c:v>0.36922080694134896</c:v>
                </c:pt>
                <c:pt idx="1183">
                  <c:v>0.35402333594839219</c:v>
                </c:pt>
                <c:pt idx="1184">
                  <c:v>0.35150241366698021</c:v>
                </c:pt>
                <c:pt idx="1185">
                  <c:v>0.34238252447445783</c:v>
                </c:pt>
                <c:pt idx="1186">
                  <c:v>0.34083344691620954</c:v>
                </c:pt>
                <c:pt idx="1187">
                  <c:v>0.33913648268684327</c:v>
                </c:pt>
                <c:pt idx="1188">
                  <c:v>0.32886695220775253</c:v>
                </c:pt>
                <c:pt idx="1189">
                  <c:v>0.33798720969498031</c:v>
                </c:pt>
                <c:pt idx="1190">
                  <c:v>0.34995154314200327</c:v>
                </c:pt>
                <c:pt idx="1191">
                  <c:v>0.35758877572853809</c:v>
                </c:pt>
                <c:pt idx="1192">
                  <c:v>0.36613292966042965</c:v>
                </c:pt>
                <c:pt idx="1193">
                  <c:v>0.37131184106725978</c:v>
                </c:pt>
                <c:pt idx="1194">
                  <c:v>0.36500065824789663</c:v>
                </c:pt>
                <c:pt idx="1195">
                  <c:v>0.36512089256461855</c:v>
                </c:pt>
                <c:pt idx="1196">
                  <c:v>0.37019573917678716</c:v>
                </c:pt>
                <c:pt idx="1197">
                  <c:v>0.37046673768078309</c:v>
                </c:pt>
                <c:pt idx="1198">
                  <c:v>0.37101585971021755</c:v>
                </c:pt>
                <c:pt idx="1199">
                  <c:v>0.36615929736176267</c:v>
                </c:pt>
                <c:pt idx="1200">
                  <c:v>0.3656784195008933</c:v>
                </c:pt>
                <c:pt idx="1201">
                  <c:v>0.3742871888845869</c:v>
                </c:pt>
                <c:pt idx="1202">
                  <c:v>0.37697623600828667</c:v>
                </c:pt>
                <c:pt idx="1203">
                  <c:v>0.36708456176265747</c:v>
                </c:pt>
                <c:pt idx="1204">
                  <c:v>0.36611698180130214</c:v>
                </c:pt>
                <c:pt idx="1205">
                  <c:v>0.36355945293282699</c:v>
                </c:pt>
                <c:pt idx="1206">
                  <c:v>0.35962087217479444</c:v>
                </c:pt>
                <c:pt idx="1207">
                  <c:v>0.36487302597487714</c:v>
                </c:pt>
                <c:pt idx="1208">
                  <c:v>0.36968465371678638</c:v>
                </c:pt>
                <c:pt idx="1209">
                  <c:v>0.37751547878886704</c:v>
                </c:pt>
                <c:pt idx="1210">
                  <c:v>0.38230553349383301</c:v>
                </c:pt>
                <c:pt idx="1211">
                  <c:v>0.38560456016894906</c:v>
                </c:pt>
                <c:pt idx="1212">
                  <c:v>0.38748921711775774</c:v>
                </c:pt>
                <c:pt idx="1213">
                  <c:v>0.38010082235587639</c:v>
                </c:pt>
                <c:pt idx="1214">
                  <c:v>0.38016526325493771</c:v>
                </c:pt>
                <c:pt idx="1215">
                  <c:v>0.3716424070498523</c:v>
                </c:pt>
                <c:pt idx="1216">
                  <c:v>0.37776615079370668</c:v>
                </c:pt>
                <c:pt idx="1217">
                  <c:v>0.39081482173253379</c:v>
                </c:pt>
                <c:pt idx="1218">
                  <c:v>0.39684955187393078</c:v>
                </c:pt>
                <c:pt idx="1219">
                  <c:v>0.39263679424160136</c:v>
                </c:pt>
                <c:pt idx="1220">
                  <c:v>0.39528170353034286</c:v>
                </c:pt>
                <c:pt idx="1221">
                  <c:v>0.40226725612491165</c:v>
                </c:pt>
                <c:pt idx="1222">
                  <c:v>0.40871732578945474</c:v>
                </c:pt>
                <c:pt idx="1223">
                  <c:v>0.40869866548902856</c:v>
                </c:pt>
                <c:pt idx="1224">
                  <c:v>0.41226949601982743</c:v>
                </c:pt>
                <c:pt idx="1225">
                  <c:v>0.41341631844886706</c:v>
                </c:pt>
                <c:pt idx="1226">
                  <c:v>0.41247540231074575</c:v>
                </c:pt>
                <c:pt idx="1227">
                  <c:v>0.40411312351451545</c:v>
                </c:pt>
                <c:pt idx="1228">
                  <c:v>0.41827316587909946</c:v>
                </c:pt>
                <c:pt idx="1229">
                  <c:v>0.423771138779379</c:v>
                </c:pt>
                <c:pt idx="1230">
                  <c:v>0.42800856536784271</c:v>
                </c:pt>
                <c:pt idx="1231">
                  <c:v>0.43258198624128497</c:v>
                </c:pt>
                <c:pt idx="1232">
                  <c:v>0.44225184859543987</c:v>
                </c:pt>
                <c:pt idx="1233">
                  <c:v>0.44577938136382556</c:v>
                </c:pt>
                <c:pt idx="1234">
                  <c:v>0.44896742877754003</c:v>
                </c:pt>
                <c:pt idx="1235">
                  <c:v>0.4244715565579873</c:v>
                </c:pt>
                <c:pt idx="1236">
                  <c:v>0.41725474026077247</c:v>
                </c:pt>
                <c:pt idx="1237">
                  <c:v>0.4260936652622862</c:v>
                </c:pt>
                <c:pt idx="1238">
                  <c:v>0.42240969597835698</c:v>
                </c:pt>
                <c:pt idx="1239">
                  <c:v>0.41184429322170035</c:v>
                </c:pt>
                <c:pt idx="1240">
                  <c:v>0.43384396499910638</c:v>
                </c:pt>
                <c:pt idx="1241">
                  <c:v>0.44355123499549265</c:v>
                </c:pt>
                <c:pt idx="1242">
                  <c:v>0.44476943421378978</c:v>
                </c:pt>
                <c:pt idx="1243">
                  <c:v>0.44795371935804496</c:v>
                </c:pt>
                <c:pt idx="1244">
                  <c:v>0.43458641306813051</c:v>
                </c:pt>
                <c:pt idx="1245">
                  <c:v>0.44382082937098155</c:v>
                </c:pt>
                <c:pt idx="1246">
                  <c:v>0.43959357095823348</c:v>
                </c:pt>
                <c:pt idx="1247">
                  <c:v>0.4460693470942616</c:v>
                </c:pt>
                <c:pt idx="1248">
                  <c:v>0.44648922754383835</c:v>
                </c:pt>
                <c:pt idx="1249">
                  <c:v>0.45581785900707628</c:v>
                </c:pt>
                <c:pt idx="1250">
                  <c:v>0.45422628451901659</c:v>
                </c:pt>
                <c:pt idx="1251">
                  <c:v>0.45840602901235572</c:v>
                </c:pt>
                <c:pt idx="1252">
                  <c:v>0.46382741123881455</c:v>
                </c:pt>
                <c:pt idx="1253">
                  <c:v>0.4637846460543722</c:v>
                </c:pt>
                <c:pt idx="1254">
                  <c:v>0.46472046383663246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2-49DA-A107-E947448A5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621168"/>
        <c:axId val="1177621528"/>
      </c:lineChart>
      <c:dateAx>
        <c:axId val="117762116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21528"/>
        <c:crosses val="autoZero"/>
        <c:auto val="0"/>
        <c:lblOffset val="100"/>
        <c:baseTimeUnit val="days"/>
        <c:majorUnit val="6"/>
        <c:majorTimeUnit val="months"/>
      </c:dateAx>
      <c:valAx>
        <c:axId val="117762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2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Drawdown (Equal Weight)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Portfolio_Calc!$E$1</c:f>
              <c:strCache>
                <c:ptCount val="1"/>
                <c:pt idx="0">
                  <c:v>Drawdown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Portfolio_Calc!$A$2:$A$1256</c:f>
              <c:numCache>
                <c:formatCode>m/d/yyyy</c:formatCode>
                <c:ptCount val="1255"/>
                <c:pt idx="0">
                  <c:v>44257</c:v>
                </c:pt>
                <c:pt idx="1">
                  <c:v>44258</c:v>
                </c:pt>
                <c:pt idx="2">
                  <c:v>44259</c:v>
                </c:pt>
                <c:pt idx="3">
                  <c:v>44260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44270</c:v>
                </c:pt>
                <c:pt idx="10">
                  <c:v>44271</c:v>
                </c:pt>
                <c:pt idx="11">
                  <c:v>44272</c:v>
                </c:pt>
                <c:pt idx="12">
                  <c:v>44273</c:v>
                </c:pt>
                <c:pt idx="13">
                  <c:v>44274</c:v>
                </c:pt>
                <c:pt idx="14">
                  <c:v>44277</c:v>
                </c:pt>
                <c:pt idx="15">
                  <c:v>44278</c:v>
                </c:pt>
                <c:pt idx="16">
                  <c:v>44279</c:v>
                </c:pt>
                <c:pt idx="17">
                  <c:v>44280</c:v>
                </c:pt>
                <c:pt idx="18">
                  <c:v>44281</c:v>
                </c:pt>
                <c:pt idx="19">
                  <c:v>44284</c:v>
                </c:pt>
                <c:pt idx="20">
                  <c:v>44285</c:v>
                </c:pt>
                <c:pt idx="21">
                  <c:v>44286</c:v>
                </c:pt>
                <c:pt idx="22">
                  <c:v>44287</c:v>
                </c:pt>
                <c:pt idx="23">
                  <c:v>44291</c:v>
                </c:pt>
                <c:pt idx="24">
                  <c:v>44292</c:v>
                </c:pt>
                <c:pt idx="25">
                  <c:v>44293</c:v>
                </c:pt>
                <c:pt idx="26">
                  <c:v>44294</c:v>
                </c:pt>
                <c:pt idx="27">
                  <c:v>44295</c:v>
                </c:pt>
                <c:pt idx="28">
                  <c:v>44298</c:v>
                </c:pt>
                <c:pt idx="29">
                  <c:v>44299</c:v>
                </c:pt>
                <c:pt idx="30">
                  <c:v>44300</c:v>
                </c:pt>
                <c:pt idx="31">
                  <c:v>44301</c:v>
                </c:pt>
                <c:pt idx="32">
                  <c:v>44302</c:v>
                </c:pt>
                <c:pt idx="33">
                  <c:v>44305</c:v>
                </c:pt>
                <c:pt idx="34">
                  <c:v>44306</c:v>
                </c:pt>
                <c:pt idx="35">
                  <c:v>44307</c:v>
                </c:pt>
                <c:pt idx="36">
                  <c:v>44308</c:v>
                </c:pt>
                <c:pt idx="37">
                  <c:v>44309</c:v>
                </c:pt>
                <c:pt idx="38">
                  <c:v>44312</c:v>
                </c:pt>
                <c:pt idx="39">
                  <c:v>44313</c:v>
                </c:pt>
                <c:pt idx="40">
                  <c:v>44314</c:v>
                </c:pt>
                <c:pt idx="41">
                  <c:v>44315</c:v>
                </c:pt>
                <c:pt idx="42">
                  <c:v>44316</c:v>
                </c:pt>
                <c:pt idx="43">
                  <c:v>44319</c:v>
                </c:pt>
                <c:pt idx="44">
                  <c:v>44320</c:v>
                </c:pt>
                <c:pt idx="45">
                  <c:v>44321</c:v>
                </c:pt>
                <c:pt idx="46">
                  <c:v>44322</c:v>
                </c:pt>
                <c:pt idx="47">
                  <c:v>44323</c:v>
                </c:pt>
                <c:pt idx="48">
                  <c:v>44326</c:v>
                </c:pt>
                <c:pt idx="49">
                  <c:v>44327</c:v>
                </c:pt>
                <c:pt idx="50">
                  <c:v>44328</c:v>
                </c:pt>
                <c:pt idx="51">
                  <c:v>44329</c:v>
                </c:pt>
                <c:pt idx="52">
                  <c:v>44330</c:v>
                </c:pt>
                <c:pt idx="53">
                  <c:v>44333</c:v>
                </c:pt>
                <c:pt idx="54">
                  <c:v>44334</c:v>
                </c:pt>
                <c:pt idx="55">
                  <c:v>44335</c:v>
                </c:pt>
                <c:pt idx="56">
                  <c:v>44336</c:v>
                </c:pt>
                <c:pt idx="57">
                  <c:v>44337</c:v>
                </c:pt>
                <c:pt idx="58">
                  <c:v>44340</c:v>
                </c:pt>
                <c:pt idx="59">
                  <c:v>44341</c:v>
                </c:pt>
                <c:pt idx="60">
                  <c:v>44342</c:v>
                </c:pt>
                <c:pt idx="61">
                  <c:v>44343</c:v>
                </c:pt>
                <c:pt idx="62">
                  <c:v>44344</c:v>
                </c:pt>
                <c:pt idx="63">
                  <c:v>44348</c:v>
                </c:pt>
                <c:pt idx="64">
                  <c:v>44349</c:v>
                </c:pt>
                <c:pt idx="65">
                  <c:v>44350</c:v>
                </c:pt>
                <c:pt idx="66">
                  <c:v>44351</c:v>
                </c:pt>
                <c:pt idx="67">
                  <c:v>44354</c:v>
                </c:pt>
                <c:pt idx="68">
                  <c:v>44355</c:v>
                </c:pt>
                <c:pt idx="69">
                  <c:v>44356</c:v>
                </c:pt>
                <c:pt idx="70">
                  <c:v>44357</c:v>
                </c:pt>
                <c:pt idx="71">
                  <c:v>44358</c:v>
                </c:pt>
                <c:pt idx="72">
                  <c:v>44361</c:v>
                </c:pt>
                <c:pt idx="73">
                  <c:v>44362</c:v>
                </c:pt>
                <c:pt idx="74">
                  <c:v>44363</c:v>
                </c:pt>
                <c:pt idx="75">
                  <c:v>44364</c:v>
                </c:pt>
                <c:pt idx="76">
                  <c:v>44365</c:v>
                </c:pt>
                <c:pt idx="77">
                  <c:v>44368</c:v>
                </c:pt>
                <c:pt idx="78">
                  <c:v>44369</c:v>
                </c:pt>
                <c:pt idx="79">
                  <c:v>44370</c:v>
                </c:pt>
                <c:pt idx="80">
                  <c:v>44371</c:v>
                </c:pt>
                <c:pt idx="81">
                  <c:v>44372</c:v>
                </c:pt>
                <c:pt idx="82">
                  <c:v>44375</c:v>
                </c:pt>
                <c:pt idx="83">
                  <c:v>44376</c:v>
                </c:pt>
                <c:pt idx="84">
                  <c:v>44377</c:v>
                </c:pt>
                <c:pt idx="85">
                  <c:v>44378</c:v>
                </c:pt>
                <c:pt idx="86">
                  <c:v>44379</c:v>
                </c:pt>
                <c:pt idx="87">
                  <c:v>44383</c:v>
                </c:pt>
                <c:pt idx="88">
                  <c:v>44384</c:v>
                </c:pt>
                <c:pt idx="89">
                  <c:v>44385</c:v>
                </c:pt>
                <c:pt idx="90">
                  <c:v>44386</c:v>
                </c:pt>
                <c:pt idx="91">
                  <c:v>44389</c:v>
                </c:pt>
                <c:pt idx="92">
                  <c:v>44390</c:v>
                </c:pt>
                <c:pt idx="93">
                  <c:v>44391</c:v>
                </c:pt>
                <c:pt idx="94">
                  <c:v>44392</c:v>
                </c:pt>
                <c:pt idx="95">
                  <c:v>44393</c:v>
                </c:pt>
                <c:pt idx="96">
                  <c:v>44396</c:v>
                </c:pt>
                <c:pt idx="97">
                  <c:v>44397</c:v>
                </c:pt>
                <c:pt idx="98">
                  <c:v>44398</c:v>
                </c:pt>
                <c:pt idx="99">
                  <c:v>44399</c:v>
                </c:pt>
                <c:pt idx="100">
                  <c:v>44400</c:v>
                </c:pt>
                <c:pt idx="101">
                  <c:v>44403</c:v>
                </c:pt>
                <c:pt idx="102">
                  <c:v>44404</c:v>
                </c:pt>
                <c:pt idx="103">
                  <c:v>44405</c:v>
                </c:pt>
                <c:pt idx="104">
                  <c:v>44406</c:v>
                </c:pt>
                <c:pt idx="105">
                  <c:v>44407</c:v>
                </c:pt>
                <c:pt idx="106">
                  <c:v>44410</c:v>
                </c:pt>
                <c:pt idx="107">
                  <c:v>44411</c:v>
                </c:pt>
                <c:pt idx="108">
                  <c:v>44412</c:v>
                </c:pt>
                <c:pt idx="109">
                  <c:v>44413</c:v>
                </c:pt>
                <c:pt idx="110">
                  <c:v>44414</c:v>
                </c:pt>
                <c:pt idx="111">
                  <c:v>44417</c:v>
                </c:pt>
                <c:pt idx="112">
                  <c:v>44418</c:v>
                </c:pt>
                <c:pt idx="113">
                  <c:v>44419</c:v>
                </c:pt>
                <c:pt idx="114">
                  <c:v>44420</c:v>
                </c:pt>
                <c:pt idx="115">
                  <c:v>44421</c:v>
                </c:pt>
                <c:pt idx="116">
                  <c:v>44424</c:v>
                </c:pt>
                <c:pt idx="117">
                  <c:v>44425</c:v>
                </c:pt>
                <c:pt idx="118">
                  <c:v>44426</c:v>
                </c:pt>
                <c:pt idx="119">
                  <c:v>44427</c:v>
                </c:pt>
                <c:pt idx="120">
                  <c:v>44428</c:v>
                </c:pt>
                <c:pt idx="121">
                  <c:v>44431</c:v>
                </c:pt>
                <c:pt idx="122">
                  <c:v>44432</c:v>
                </c:pt>
                <c:pt idx="123">
                  <c:v>44433</c:v>
                </c:pt>
                <c:pt idx="124">
                  <c:v>44434</c:v>
                </c:pt>
                <c:pt idx="125">
                  <c:v>44435</c:v>
                </c:pt>
                <c:pt idx="126">
                  <c:v>44438</c:v>
                </c:pt>
                <c:pt idx="127">
                  <c:v>44439</c:v>
                </c:pt>
                <c:pt idx="128">
                  <c:v>44440</c:v>
                </c:pt>
                <c:pt idx="129">
                  <c:v>44441</c:v>
                </c:pt>
                <c:pt idx="130">
                  <c:v>44442</c:v>
                </c:pt>
                <c:pt idx="131">
                  <c:v>44446</c:v>
                </c:pt>
                <c:pt idx="132">
                  <c:v>44447</c:v>
                </c:pt>
                <c:pt idx="133">
                  <c:v>44448</c:v>
                </c:pt>
                <c:pt idx="134">
                  <c:v>44449</c:v>
                </c:pt>
                <c:pt idx="135">
                  <c:v>44452</c:v>
                </c:pt>
                <c:pt idx="136">
                  <c:v>44453</c:v>
                </c:pt>
                <c:pt idx="137">
                  <c:v>44454</c:v>
                </c:pt>
                <c:pt idx="138">
                  <c:v>44455</c:v>
                </c:pt>
                <c:pt idx="139">
                  <c:v>44456</c:v>
                </c:pt>
                <c:pt idx="140">
                  <c:v>44459</c:v>
                </c:pt>
                <c:pt idx="141">
                  <c:v>44460</c:v>
                </c:pt>
                <c:pt idx="142">
                  <c:v>44461</c:v>
                </c:pt>
                <c:pt idx="143">
                  <c:v>44462</c:v>
                </c:pt>
                <c:pt idx="144">
                  <c:v>44463</c:v>
                </c:pt>
                <c:pt idx="145">
                  <c:v>44466</c:v>
                </c:pt>
                <c:pt idx="146">
                  <c:v>44467</c:v>
                </c:pt>
                <c:pt idx="147">
                  <c:v>44468</c:v>
                </c:pt>
                <c:pt idx="148">
                  <c:v>44469</c:v>
                </c:pt>
                <c:pt idx="149">
                  <c:v>44470</c:v>
                </c:pt>
                <c:pt idx="150">
                  <c:v>44473</c:v>
                </c:pt>
                <c:pt idx="151">
                  <c:v>44474</c:v>
                </c:pt>
                <c:pt idx="152">
                  <c:v>44475</c:v>
                </c:pt>
                <c:pt idx="153">
                  <c:v>44476</c:v>
                </c:pt>
                <c:pt idx="154">
                  <c:v>44477</c:v>
                </c:pt>
                <c:pt idx="155">
                  <c:v>44480</c:v>
                </c:pt>
                <c:pt idx="156">
                  <c:v>44481</c:v>
                </c:pt>
                <c:pt idx="157">
                  <c:v>44482</c:v>
                </c:pt>
                <c:pt idx="158">
                  <c:v>44483</c:v>
                </c:pt>
                <c:pt idx="159">
                  <c:v>44484</c:v>
                </c:pt>
                <c:pt idx="160">
                  <c:v>44487</c:v>
                </c:pt>
                <c:pt idx="161">
                  <c:v>44488</c:v>
                </c:pt>
                <c:pt idx="162">
                  <c:v>44489</c:v>
                </c:pt>
                <c:pt idx="163">
                  <c:v>44490</c:v>
                </c:pt>
                <c:pt idx="164">
                  <c:v>44491</c:v>
                </c:pt>
                <c:pt idx="165">
                  <c:v>44494</c:v>
                </c:pt>
                <c:pt idx="166">
                  <c:v>44495</c:v>
                </c:pt>
                <c:pt idx="167">
                  <c:v>44496</c:v>
                </c:pt>
                <c:pt idx="168">
                  <c:v>44497</c:v>
                </c:pt>
                <c:pt idx="169">
                  <c:v>44498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  <c:pt idx="175">
                  <c:v>44508</c:v>
                </c:pt>
                <c:pt idx="176">
                  <c:v>44509</c:v>
                </c:pt>
                <c:pt idx="177">
                  <c:v>44510</c:v>
                </c:pt>
                <c:pt idx="178">
                  <c:v>44511</c:v>
                </c:pt>
                <c:pt idx="179">
                  <c:v>44512</c:v>
                </c:pt>
                <c:pt idx="180">
                  <c:v>44515</c:v>
                </c:pt>
                <c:pt idx="181">
                  <c:v>44516</c:v>
                </c:pt>
                <c:pt idx="182">
                  <c:v>44517</c:v>
                </c:pt>
                <c:pt idx="183">
                  <c:v>44518</c:v>
                </c:pt>
                <c:pt idx="184">
                  <c:v>44519</c:v>
                </c:pt>
                <c:pt idx="185">
                  <c:v>44522</c:v>
                </c:pt>
                <c:pt idx="186">
                  <c:v>44523</c:v>
                </c:pt>
                <c:pt idx="187">
                  <c:v>44524</c:v>
                </c:pt>
                <c:pt idx="188">
                  <c:v>44526</c:v>
                </c:pt>
                <c:pt idx="189">
                  <c:v>44529</c:v>
                </c:pt>
                <c:pt idx="190">
                  <c:v>44530</c:v>
                </c:pt>
                <c:pt idx="191">
                  <c:v>44531</c:v>
                </c:pt>
                <c:pt idx="192">
                  <c:v>44532</c:v>
                </c:pt>
                <c:pt idx="193">
                  <c:v>44533</c:v>
                </c:pt>
                <c:pt idx="194">
                  <c:v>44536</c:v>
                </c:pt>
                <c:pt idx="195">
                  <c:v>44537</c:v>
                </c:pt>
                <c:pt idx="196">
                  <c:v>44538</c:v>
                </c:pt>
                <c:pt idx="197">
                  <c:v>44539</c:v>
                </c:pt>
                <c:pt idx="198">
                  <c:v>44540</c:v>
                </c:pt>
                <c:pt idx="199">
                  <c:v>44543</c:v>
                </c:pt>
                <c:pt idx="200">
                  <c:v>44544</c:v>
                </c:pt>
                <c:pt idx="201">
                  <c:v>44545</c:v>
                </c:pt>
                <c:pt idx="202">
                  <c:v>44546</c:v>
                </c:pt>
                <c:pt idx="203">
                  <c:v>44547</c:v>
                </c:pt>
                <c:pt idx="204">
                  <c:v>44550</c:v>
                </c:pt>
                <c:pt idx="205">
                  <c:v>44551</c:v>
                </c:pt>
                <c:pt idx="206">
                  <c:v>44552</c:v>
                </c:pt>
                <c:pt idx="207">
                  <c:v>44553</c:v>
                </c:pt>
                <c:pt idx="208">
                  <c:v>44557</c:v>
                </c:pt>
                <c:pt idx="209">
                  <c:v>44558</c:v>
                </c:pt>
                <c:pt idx="210">
                  <c:v>44559</c:v>
                </c:pt>
                <c:pt idx="211">
                  <c:v>44560</c:v>
                </c:pt>
                <c:pt idx="212">
                  <c:v>44561</c:v>
                </c:pt>
                <c:pt idx="213">
                  <c:v>44564</c:v>
                </c:pt>
                <c:pt idx="214">
                  <c:v>44565</c:v>
                </c:pt>
                <c:pt idx="215">
                  <c:v>44566</c:v>
                </c:pt>
                <c:pt idx="216">
                  <c:v>44567</c:v>
                </c:pt>
                <c:pt idx="217">
                  <c:v>44568</c:v>
                </c:pt>
                <c:pt idx="218">
                  <c:v>44571</c:v>
                </c:pt>
                <c:pt idx="219">
                  <c:v>44572</c:v>
                </c:pt>
                <c:pt idx="220">
                  <c:v>44573</c:v>
                </c:pt>
                <c:pt idx="221">
                  <c:v>44574</c:v>
                </c:pt>
                <c:pt idx="222">
                  <c:v>44575</c:v>
                </c:pt>
                <c:pt idx="223">
                  <c:v>44579</c:v>
                </c:pt>
                <c:pt idx="224">
                  <c:v>44580</c:v>
                </c:pt>
                <c:pt idx="225">
                  <c:v>44581</c:v>
                </c:pt>
                <c:pt idx="226">
                  <c:v>44582</c:v>
                </c:pt>
                <c:pt idx="227">
                  <c:v>44585</c:v>
                </c:pt>
                <c:pt idx="228">
                  <c:v>44586</c:v>
                </c:pt>
                <c:pt idx="229">
                  <c:v>44587</c:v>
                </c:pt>
                <c:pt idx="230">
                  <c:v>44588</c:v>
                </c:pt>
                <c:pt idx="231">
                  <c:v>44589</c:v>
                </c:pt>
                <c:pt idx="232">
                  <c:v>44592</c:v>
                </c:pt>
                <c:pt idx="233">
                  <c:v>44593</c:v>
                </c:pt>
                <c:pt idx="234">
                  <c:v>44594</c:v>
                </c:pt>
                <c:pt idx="235">
                  <c:v>44595</c:v>
                </c:pt>
                <c:pt idx="236">
                  <c:v>44596</c:v>
                </c:pt>
                <c:pt idx="237">
                  <c:v>44599</c:v>
                </c:pt>
                <c:pt idx="238">
                  <c:v>44600</c:v>
                </c:pt>
                <c:pt idx="239">
                  <c:v>44601</c:v>
                </c:pt>
                <c:pt idx="240">
                  <c:v>44602</c:v>
                </c:pt>
                <c:pt idx="241">
                  <c:v>44603</c:v>
                </c:pt>
                <c:pt idx="242">
                  <c:v>44606</c:v>
                </c:pt>
                <c:pt idx="243">
                  <c:v>44607</c:v>
                </c:pt>
                <c:pt idx="244">
                  <c:v>44608</c:v>
                </c:pt>
                <c:pt idx="245">
                  <c:v>44609</c:v>
                </c:pt>
                <c:pt idx="246">
                  <c:v>44610</c:v>
                </c:pt>
                <c:pt idx="247">
                  <c:v>44614</c:v>
                </c:pt>
                <c:pt idx="248">
                  <c:v>44615</c:v>
                </c:pt>
                <c:pt idx="249">
                  <c:v>44616</c:v>
                </c:pt>
                <c:pt idx="250">
                  <c:v>44617</c:v>
                </c:pt>
                <c:pt idx="251">
                  <c:v>44620</c:v>
                </c:pt>
                <c:pt idx="252">
                  <c:v>44621</c:v>
                </c:pt>
                <c:pt idx="253">
                  <c:v>44622</c:v>
                </c:pt>
                <c:pt idx="254">
                  <c:v>44623</c:v>
                </c:pt>
                <c:pt idx="255">
                  <c:v>44624</c:v>
                </c:pt>
                <c:pt idx="256">
                  <c:v>44627</c:v>
                </c:pt>
                <c:pt idx="257">
                  <c:v>44628</c:v>
                </c:pt>
                <c:pt idx="258">
                  <c:v>44629</c:v>
                </c:pt>
                <c:pt idx="259">
                  <c:v>44630</c:v>
                </c:pt>
                <c:pt idx="260">
                  <c:v>44631</c:v>
                </c:pt>
                <c:pt idx="261">
                  <c:v>44634</c:v>
                </c:pt>
                <c:pt idx="262">
                  <c:v>44635</c:v>
                </c:pt>
                <c:pt idx="263">
                  <c:v>44636</c:v>
                </c:pt>
                <c:pt idx="264">
                  <c:v>44637</c:v>
                </c:pt>
                <c:pt idx="265">
                  <c:v>44638</c:v>
                </c:pt>
                <c:pt idx="266">
                  <c:v>44641</c:v>
                </c:pt>
                <c:pt idx="267">
                  <c:v>44642</c:v>
                </c:pt>
                <c:pt idx="268">
                  <c:v>44643</c:v>
                </c:pt>
                <c:pt idx="269">
                  <c:v>44644</c:v>
                </c:pt>
                <c:pt idx="270">
                  <c:v>44645</c:v>
                </c:pt>
                <c:pt idx="271">
                  <c:v>44648</c:v>
                </c:pt>
                <c:pt idx="272">
                  <c:v>44649</c:v>
                </c:pt>
                <c:pt idx="273">
                  <c:v>44650</c:v>
                </c:pt>
                <c:pt idx="274">
                  <c:v>44651</c:v>
                </c:pt>
                <c:pt idx="275">
                  <c:v>44652</c:v>
                </c:pt>
                <c:pt idx="276">
                  <c:v>44655</c:v>
                </c:pt>
                <c:pt idx="277">
                  <c:v>44656</c:v>
                </c:pt>
                <c:pt idx="278">
                  <c:v>44657</c:v>
                </c:pt>
                <c:pt idx="279">
                  <c:v>44658</c:v>
                </c:pt>
                <c:pt idx="280">
                  <c:v>44659</c:v>
                </c:pt>
                <c:pt idx="281">
                  <c:v>44662</c:v>
                </c:pt>
                <c:pt idx="282">
                  <c:v>44663</c:v>
                </c:pt>
                <c:pt idx="283">
                  <c:v>44664</c:v>
                </c:pt>
                <c:pt idx="284">
                  <c:v>44665</c:v>
                </c:pt>
                <c:pt idx="285">
                  <c:v>44669</c:v>
                </c:pt>
                <c:pt idx="286">
                  <c:v>44670</c:v>
                </c:pt>
                <c:pt idx="287">
                  <c:v>44671</c:v>
                </c:pt>
                <c:pt idx="288">
                  <c:v>44672</c:v>
                </c:pt>
                <c:pt idx="289">
                  <c:v>44673</c:v>
                </c:pt>
                <c:pt idx="290">
                  <c:v>44676</c:v>
                </c:pt>
                <c:pt idx="291">
                  <c:v>44677</c:v>
                </c:pt>
                <c:pt idx="292">
                  <c:v>44678</c:v>
                </c:pt>
                <c:pt idx="293">
                  <c:v>44679</c:v>
                </c:pt>
                <c:pt idx="294">
                  <c:v>44680</c:v>
                </c:pt>
                <c:pt idx="295">
                  <c:v>44683</c:v>
                </c:pt>
                <c:pt idx="296">
                  <c:v>44684</c:v>
                </c:pt>
                <c:pt idx="297">
                  <c:v>44685</c:v>
                </c:pt>
                <c:pt idx="298">
                  <c:v>44686</c:v>
                </c:pt>
                <c:pt idx="299">
                  <c:v>44687</c:v>
                </c:pt>
                <c:pt idx="300">
                  <c:v>44690</c:v>
                </c:pt>
                <c:pt idx="301">
                  <c:v>44691</c:v>
                </c:pt>
                <c:pt idx="302">
                  <c:v>44692</c:v>
                </c:pt>
                <c:pt idx="303">
                  <c:v>44693</c:v>
                </c:pt>
                <c:pt idx="304">
                  <c:v>44694</c:v>
                </c:pt>
                <c:pt idx="305">
                  <c:v>44697</c:v>
                </c:pt>
                <c:pt idx="306">
                  <c:v>44698</c:v>
                </c:pt>
                <c:pt idx="307">
                  <c:v>44699</c:v>
                </c:pt>
                <c:pt idx="308">
                  <c:v>44700</c:v>
                </c:pt>
                <c:pt idx="309">
                  <c:v>44701</c:v>
                </c:pt>
                <c:pt idx="310">
                  <c:v>44704</c:v>
                </c:pt>
                <c:pt idx="311">
                  <c:v>44705</c:v>
                </c:pt>
                <c:pt idx="312">
                  <c:v>44706</c:v>
                </c:pt>
                <c:pt idx="313">
                  <c:v>44707</c:v>
                </c:pt>
                <c:pt idx="314">
                  <c:v>44708</c:v>
                </c:pt>
                <c:pt idx="315">
                  <c:v>44712</c:v>
                </c:pt>
                <c:pt idx="316">
                  <c:v>44713</c:v>
                </c:pt>
                <c:pt idx="317">
                  <c:v>44714</c:v>
                </c:pt>
                <c:pt idx="318">
                  <c:v>44715</c:v>
                </c:pt>
                <c:pt idx="319">
                  <c:v>44718</c:v>
                </c:pt>
                <c:pt idx="320">
                  <c:v>44719</c:v>
                </c:pt>
                <c:pt idx="321">
                  <c:v>44720</c:v>
                </c:pt>
                <c:pt idx="322">
                  <c:v>44721</c:v>
                </c:pt>
                <c:pt idx="323">
                  <c:v>44722</c:v>
                </c:pt>
                <c:pt idx="324">
                  <c:v>44725</c:v>
                </c:pt>
                <c:pt idx="325">
                  <c:v>44726</c:v>
                </c:pt>
                <c:pt idx="326">
                  <c:v>44727</c:v>
                </c:pt>
                <c:pt idx="327">
                  <c:v>44728</c:v>
                </c:pt>
                <c:pt idx="328">
                  <c:v>44729</c:v>
                </c:pt>
                <c:pt idx="329">
                  <c:v>44733</c:v>
                </c:pt>
                <c:pt idx="330">
                  <c:v>44734</c:v>
                </c:pt>
                <c:pt idx="331">
                  <c:v>44735</c:v>
                </c:pt>
                <c:pt idx="332">
                  <c:v>44736</c:v>
                </c:pt>
                <c:pt idx="333">
                  <c:v>44739</c:v>
                </c:pt>
                <c:pt idx="334">
                  <c:v>44740</c:v>
                </c:pt>
                <c:pt idx="335">
                  <c:v>44741</c:v>
                </c:pt>
                <c:pt idx="336">
                  <c:v>44742</c:v>
                </c:pt>
                <c:pt idx="337">
                  <c:v>44743</c:v>
                </c:pt>
                <c:pt idx="338">
                  <c:v>44747</c:v>
                </c:pt>
                <c:pt idx="339">
                  <c:v>44748</c:v>
                </c:pt>
                <c:pt idx="340">
                  <c:v>44749</c:v>
                </c:pt>
                <c:pt idx="341">
                  <c:v>44750</c:v>
                </c:pt>
                <c:pt idx="342">
                  <c:v>44753</c:v>
                </c:pt>
                <c:pt idx="343">
                  <c:v>44754</c:v>
                </c:pt>
                <c:pt idx="344">
                  <c:v>44755</c:v>
                </c:pt>
                <c:pt idx="345">
                  <c:v>44756</c:v>
                </c:pt>
                <c:pt idx="346">
                  <c:v>44757</c:v>
                </c:pt>
                <c:pt idx="347">
                  <c:v>44760</c:v>
                </c:pt>
                <c:pt idx="348">
                  <c:v>44761</c:v>
                </c:pt>
                <c:pt idx="349">
                  <c:v>44762</c:v>
                </c:pt>
                <c:pt idx="350">
                  <c:v>44763</c:v>
                </c:pt>
                <c:pt idx="351">
                  <c:v>44764</c:v>
                </c:pt>
                <c:pt idx="352">
                  <c:v>44767</c:v>
                </c:pt>
                <c:pt idx="353">
                  <c:v>44768</c:v>
                </c:pt>
                <c:pt idx="354">
                  <c:v>44769</c:v>
                </c:pt>
                <c:pt idx="355">
                  <c:v>44770</c:v>
                </c:pt>
                <c:pt idx="356">
                  <c:v>44771</c:v>
                </c:pt>
                <c:pt idx="357">
                  <c:v>44774</c:v>
                </c:pt>
                <c:pt idx="358">
                  <c:v>44775</c:v>
                </c:pt>
                <c:pt idx="359">
                  <c:v>44776</c:v>
                </c:pt>
                <c:pt idx="360">
                  <c:v>44777</c:v>
                </c:pt>
                <c:pt idx="361">
                  <c:v>44778</c:v>
                </c:pt>
                <c:pt idx="362">
                  <c:v>44781</c:v>
                </c:pt>
                <c:pt idx="363">
                  <c:v>44782</c:v>
                </c:pt>
                <c:pt idx="364">
                  <c:v>44783</c:v>
                </c:pt>
                <c:pt idx="365">
                  <c:v>44784</c:v>
                </c:pt>
                <c:pt idx="366">
                  <c:v>44785</c:v>
                </c:pt>
                <c:pt idx="367">
                  <c:v>44788</c:v>
                </c:pt>
                <c:pt idx="368">
                  <c:v>44789</c:v>
                </c:pt>
                <c:pt idx="369">
                  <c:v>44790</c:v>
                </c:pt>
                <c:pt idx="370">
                  <c:v>44791</c:v>
                </c:pt>
                <c:pt idx="371">
                  <c:v>44792</c:v>
                </c:pt>
                <c:pt idx="372">
                  <c:v>44795</c:v>
                </c:pt>
                <c:pt idx="373">
                  <c:v>44796</c:v>
                </c:pt>
                <c:pt idx="374">
                  <c:v>44797</c:v>
                </c:pt>
                <c:pt idx="375">
                  <c:v>44798</c:v>
                </c:pt>
                <c:pt idx="376">
                  <c:v>44799</c:v>
                </c:pt>
                <c:pt idx="377">
                  <c:v>44802</c:v>
                </c:pt>
                <c:pt idx="378">
                  <c:v>44803</c:v>
                </c:pt>
                <c:pt idx="379">
                  <c:v>44804</c:v>
                </c:pt>
                <c:pt idx="380">
                  <c:v>44805</c:v>
                </c:pt>
                <c:pt idx="381">
                  <c:v>44806</c:v>
                </c:pt>
                <c:pt idx="382">
                  <c:v>44810</c:v>
                </c:pt>
                <c:pt idx="383">
                  <c:v>44811</c:v>
                </c:pt>
                <c:pt idx="384">
                  <c:v>44812</c:v>
                </c:pt>
                <c:pt idx="385">
                  <c:v>44813</c:v>
                </c:pt>
                <c:pt idx="386">
                  <c:v>44816</c:v>
                </c:pt>
                <c:pt idx="387">
                  <c:v>44817</c:v>
                </c:pt>
                <c:pt idx="388">
                  <c:v>44818</c:v>
                </c:pt>
                <c:pt idx="389">
                  <c:v>44819</c:v>
                </c:pt>
                <c:pt idx="390">
                  <c:v>44820</c:v>
                </c:pt>
                <c:pt idx="391">
                  <c:v>44823</c:v>
                </c:pt>
                <c:pt idx="392">
                  <c:v>44824</c:v>
                </c:pt>
                <c:pt idx="393">
                  <c:v>44825</c:v>
                </c:pt>
                <c:pt idx="394">
                  <c:v>44826</c:v>
                </c:pt>
                <c:pt idx="395">
                  <c:v>44827</c:v>
                </c:pt>
                <c:pt idx="396">
                  <c:v>44830</c:v>
                </c:pt>
                <c:pt idx="397">
                  <c:v>44831</c:v>
                </c:pt>
                <c:pt idx="398">
                  <c:v>44832</c:v>
                </c:pt>
                <c:pt idx="399">
                  <c:v>44833</c:v>
                </c:pt>
                <c:pt idx="400">
                  <c:v>44834</c:v>
                </c:pt>
                <c:pt idx="401">
                  <c:v>44837</c:v>
                </c:pt>
                <c:pt idx="402">
                  <c:v>44838</c:v>
                </c:pt>
                <c:pt idx="403">
                  <c:v>44839</c:v>
                </c:pt>
                <c:pt idx="404">
                  <c:v>44840</c:v>
                </c:pt>
                <c:pt idx="405">
                  <c:v>44841</c:v>
                </c:pt>
                <c:pt idx="406">
                  <c:v>44844</c:v>
                </c:pt>
                <c:pt idx="407">
                  <c:v>44845</c:v>
                </c:pt>
                <c:pt idx="408">
                  <c:v>44846</c:v>
                </c:pt>
                <c:pt idx="409">
                  <c:v>44847</c:v>
                </c:pt>
                <c:pt idx="410">
                  <c:v>44848</c:v>
                </c:pt>
                <c:pt idx="411">
                  <c:v>44851</c:v>
                </c:pt>
                <c:pt idx="412">
                  <c:v>44852</c:v>
                </c:pt>
                <c:pt idx="413">
                  <c:v>44853</c:v>
                </c:pt>
                <c:pt idx="414">
                  <c:v>44854</c:v>
                </c:pt>
                <c:pt idx="415">
                  <c:v>44855</c:v>
                </c:pt>
                <c:pt idx="416">
                  <c:v>44858</c:v>
                </c:pt>
                <c:pt idx="417">
                  <c:v>44859</c:v>
                </c:pt>
                <c:pt idx="418">
                  <c:v>44860</c:v>
                </c:pt>
                <c:pt idx="419">
                  <c:v>44861</c:v>
                </c:pt>
                <c:pt idx="420">
                  <c:v>44862</c:v>
                </c:pt>
                <c:pt idx="421">
                  <c:v>44865</c:v>
                </c:pt>
                <c:pt idx="422">
                  <c:v>44866</c:v>
                </c:pt>
                <c:pt idx="423">
                  <c:v>44867</c:v>
                </c:pt>
                <c:pt idx="424">
                  <c:v>44868</c:v>
                </c:pt>
                <c:pt idx="425">
                  <c:v>44869</c:v>
                </c:pt>
                <c:pt idx="426">
                  <c:v>44872</c:v>
                </c:pt>
                <c:pt idx="427">
                  <c:v>44873</c:v>
                </c:pt>
                <c:pt idx="428">
                  <c:v>44874</c:v>
                </c:pt>
                <c:pt idx="429">
                  <c:v>44875</c:v>
                </c:pt>
                <c:pt idx="430">
                  <c:v>44876</c:v>
                </c:pt>
                <c:pt idx="431">
                  <c:v>44879</c:v>
                </c:pt>
                <c:pt idx="432">
                  <c:v>44880</c:v>
                </c:pt>
                <c:pt idx="433">
                  <c:v>44881</c:v>
                </c:pt>
                <c:pt idx="434">
                  <c:v>44882</c:v>
                </c:pt>
                <c:pt idx="435">
                  <c:v>44883</c:v>
                </c:pt>
                <c:pt idx="436">
                  <c:v>44886</c:v>
                </c:pt>
                <c:pt idx="437">
                  <c:v>44887</c:v>
                </c:pt>
                <c:pt idx="438">
                  <c:v>44888</c:v>
                </c:pt>
                <c:pt idx="439">
                  <c:v>44890</c:v>
                </c:pt>
                <c:pt idx="440">
                  <c:v>44893</c:v>
                </c:pt>
                <c:pt idx="441">
                  <c:v>44894</c:v>
                </c:pt>
                <c:pt idx="442">
                  <c:v>44895</c:v>
                </c:pt>
                <c:pt idx="443">
                  <c:v>44896</c:v>
                </c:pt>
                <c:pt idx="444">
                  <c:v>44897</c:v>
                </c:pt>
                <c:pt idx="445">
                  <c:v>44900</c:v>
                </c:pt>
                <c:pt idx="446">
                  <c:v>44901</c:v>
                </c:pt>
                <c:pt idx="447">
                  <c:v>44902</c:v>
                </c:pt>
                <c:pt idx="448">
                  <c:v>44903</c:v>
                </c:pt>
                <c:pt idx="449">
                  <c:v>44904</c:v>
                </c:pt>
                <c:pt idx="450">
                  <c:v>44907</c:v>
                </c:pt>
                <c:pt idx="451">
                  <c:v>44908</c:v>
                </c:pt>
                <c:pt idx="452">
                  <c:v>44909</c:v>
                </c:pt>
                <c:pt idx="453">
                  <c:v>44910</c:v>
                </c:pt>
                <c:pt idx="454">
                  <c:v>44911</c:v>
                </c:pt>
                <c:pt idx="455">
                  <c:v>44914</c:v>
                </c:pt>
                <c:pt idx="456">
                  <c:v>44915</c:v>
                </c:pt>
                <c:pt idx="457">
                  <c:v>44916</c:v>
                </c:pt>
                <c:pt idx="458">
                  <c:v>44917</c:v>
                </c:pt>
                <c:pt idx="459">
                  <c:v>44918</c:v>
                </c:pt>
                <c:pt idx="460">
                  <c:v>44922</c:v>
                </c:pt>
                <c:pt idx="461">
                  <c:v>44923</c:v>
                </c:pt>
                <c:pt idx="462">
                  <c:v>44924</c:v>
                </c:pt>
                <c:pt idx="463">
                  <c:v>44925</c:v>
                </c:pt>
                <c:pt idx="464">
                  <c:v>44929</c:v>
                </c:pt>
                <c:pt idx="465">
                  <c:v>44930</c:v>
                </c:pt>
                <c:pt idx="466">
                  <c:v>44931</c:v>
                </c:pt>
                <c:pt idx="467">
                  <c:v>44932</c:v>
                </c:pt>
                <c:pt idx="468">
                  <c:v>44935</c:v>
                </c:pt>
                <c:pt idx="469">
                  <c:v>44936</c:v>
                </c:pt>
                <c:pt idx="470">
                  <c:v>44937</c:v>
                </c:pt>
                <c:pt idx="471">
                  <c:v>44938</c:v>
                </c:pt>
                <c:pt idx="472">
                  <c:v>44939</c:v>
                </c:pt>
                <c:pt idx="473">
                  <c:v>44943</c:v>
                </c:pt>
                <c:pt idx="474">
                  <c:v>44944</c:v>
                </c:pt>
                <c:pt idx="475">
                  <c:v>44945</c:v>
                </c:pt>
                <c:pt idx="476">
                  <c:v>44946</c:v>
                </c:pt>
                <c:pt idx="477">
                  <c:v>44949</c:v>
                </c:pt>
                <c:pt idx="478">
                  <c:v>44950</c:v>
                </c:pt>
                <c:pt idx="479">
                  <c:v>44951</c:v>
                </c:pt>
                <c:pt idx="480">
                  <c:v>44952</c:v>
                </c:pt>
                <c:pt idx="481">
                  <c:v>44953</c:v>
                </c:pt>
                <c:pt idx="482">
                  <c:v>44956</c:v>
                </c:pt>
                <c:pt idx="483">
                  <c:v>44957</c:v>
                </c:pt>
                <c:pt idx="484">
                  <c:v>44958</c:v>
                </c:pt>
                <c:pt idx="485">
                  <c:v>44959</c:v>
                </c:pt>
                <c:pt idx="486">
                  <c:v>44960</c:v>
                </c:pt>
                <c:pt idx="487">
                  <c:v>44963</c:v>
                </c:pt>
                <c:pt idx="488">
                  <c:v>44964</c:v>
                </c:pt>
                <c:pt idx="489">
                  <c:v>44965</c:v>
                </c:pt>
                <c:pt idx="490">
                  <c:v>44966</c:v>
                </c:pt>
                <c:pt idx="491">
                  <c:v>44967</c:v>
                </c:pt>
                <c:pt idx="492">
                  <c:v>44970</c:v>
                </c:pt>
                <c:pt idx="493">
                  <c:v>44971</c:v>
                </c:pt>
                <c:pt idx="494">
                  <c:v>44972</c:v>
                </c:pt>
                <c:pt idx="495">
                  <c:v>44973</c:v>
                </c:pt>
                <c:pt idx="496">
                  <c:v>44974</c:v>
                </c:pt>
                <c:pt idx="497">
                  <c:v>44978</c:v>
                </c:pt>
                <c:pt idx="498">
                  <c:v>44979</c:v>
                </c:pt>
                <c:pt idx="499">
                  <c:v>44980</c:v>
                </c:pt>
                <c:pt idx="500">
                  <c:v>44981</c:v>
                </c:pt>
                <c:pt idx="501">
                  <c:v>44984</c:v>
                </c:pt>
                <c:pt idx="502">
                  <c:v>44985</c:v>
                </c:pt>
                <c:pt idx="503">
                  <c:v>44986</c:v>
                </c:pt>
                <c:pt idx="504">
                  <c:v>44987</c:v>
                </c:pt>
                <c:pt idx="505">
                  <c:v>44988</c:v>
                </c:pt>
                <c:pt idx="506">
                  <c:v>44991</c:v>
                </c:pt>
                <c:pt idx="507">
                  <c:v>44992</c:v>
                </c:pt>
                <c:pt idx="508">
                  <c:v>44993</c:v>
                </c:pt>
                <c:pt idx="509">
                  <c:v>44994</c:v>
                </c:pt>
                <c:pt idx="510">
                  <c:v>44995</c:v>
                </c:pt>
                <c:pt idx="511">
                  <c:v>44998</c:v>
                </c:pt>
                <c:pt idx="512">
                  <c:v>44999</c:v>
                </c:pt>
                <c:pt idx="513">
                  <c:v>45000</c:v>
                </c:pt>
                <c:pt idx="514">
                  <c:v>45001</c:v>
                </c:pt>
                <c:pt idx="515">
                  <c:v>45002</c:v>
                </c:pt>
                <c:pt idx="516">
                  <c:v>45005</c:v>
                </c:pt>
                <c:pt idx="517">
                  <c:v>45006</c:v>
                </c:pt>
                <c:pt idx="518">
                  <c:v>45007</c:v>
                </c:pt>
                <c:pt idx="519">
                  <c:v>45008</c:v>
                </c:pt>
                <c:pt idx="520">
                  <c:v>45009</c:v>
                </c:pt>
                <c:pt idx="521">
                  <c:v>45012</c:v>
                </c:pt>
                <c:pt idx="522">
                  <c:v>45013</c:v>
                </c:pt>
                <c:pt idx="523">
                  <c:v>45014</c:v>
                </c:pt>
                <c:pt idx="524">
                  <c:v>45015</c:v>
                </c:pt>
                <c:pt idx="525">
                  <c:v>45016</c:v>
                </c:pt>
                <c:pt idx="526">
                  <c:v>45019</c:v>
                </c:pt>
                <c:pt idx="527">
                  <c:v>45020</c:v>
                </c:pt>
                <c:pt idx="528">
                  <c:v>45021</c:v>
                </c:pt>
                <c:pt idx="529">
                  <c:v>45022</c:v>
                </c:pt>
                <c:pt idx="530">
                  <c:v>45026</c:v>
                </c:pt>
                <c:pt idx="531">
                  <c:v>45027</c:v>
                </c:pt>
                <c:pt idx="532">
                  <c:v>45028</c:v>
                </c:pt>
                <c:pt idx="533">
                  <c:v>45029</c:v>
                </c:pt>
                <c:pt idx="534">
                  <c:v>45030</c:v>
                </c:pt>
                <c:pt idx="535">
                  <c:v>45033</c:v>
                </c:pt>
                <c:pt idx="536">
                  <c:v>45034</c:v>
                </c:pt>
                <c:pt idx="537">
                  <c:v>45035</c:v>
                </c:pt>
                <c:pt idx="538">
                  <c:v>45036</c:v>
                </c:pt>
                <c:pt idx="539">
                  <c:v>45037</c:v>
                </c:pt>
                <c:pt idx="540">
                  <c:v>45040</c:v>
                </c:pt>
                <c:pt idx="541">
                  <c:v>45041</c:v>
                </c:pt>
                <c:pt idx="542">
                  <c:v>45042</c:v>
                </c:pt>
                <c:pt idx="543">
                  <c:v>45043</c:v>
                </c:pt>
                <c:pt idx="544">
                  <c:v>45044</c:v>
                </c:pt>
                <c:pt idx="545">
                  <c:v>45047</c:v>
                </c:pt>
                <c:pt idx="546">
                  <c:v>45048</c:v>
                </c:pt>
                <c:pt idx="547">
                  <c:v>45049</c:v>
                </c:pt>
                <c:pt idx="548">
                  <c:v>45050</c:v>
                </c:pt>
                <c:pt idx="549">
                  <c:v>45051</c:v>
                </c:pt>
                <c:pt idx="550">
                  <c:v>45054</c:v>
                </c:pt>
                <c:pt idx="551">
                  <c:v>45055</c:v>
                </c:pt>
                <c:pt idx="552">
                  <c:v>45056</c:v>
                </c:pt>
                <c:pt idx="553">
                  <c:v>45057</c:v>
                </c:pt>
                <c:pt idx="554">
                  <c:v>45058</c:v>
                </c:pt>
                <c:pt idx="555">
                  <c:v>45061</c:v>
                </c:pt>
                <c:pt idx="556">
                  <c:v>45062</c:v>
                </c:pt>
                <c:pt idx="557">
                  <c:v>45063</c:v>
                </c:pt>
                <c:pt idx="558">
                  <c:v>45064</c:v>
                </c:pt>
                <c:pt idx="559">
                  <c:v>45065</c:v>
                </c:pt>
                <c:pt idx="560">
                  <c:v>45068</c:v>
                </c:pt>
                <c:pt idx="561">
                  <c:v>45069</c:v>
                </c:pt>
                <c:pt idx="562">
                  <c:v>45070</c:v>
                </c:pt>
                <c:pt idx="563">
                  <c:v>45071</c:v>
                </c:pt>
                <c:pt idx="564">
                  <c:v>45072</c:v>
                </c:pt>
                <c:pt idx="565">
                  <c:v>45076</c:v>
                </c:pt>
                <c:pt idx="566">
                  <c:v>45077</c:v>
                </c:pt>
                <c:pt idx="567">
                  <c:v>45078</c:v>
                </c:pt>
                <c:pt idx="568">
                  <c:v>45079</c:v>
                </c:pt>
                <c:pt idx="569">
                  <c:v>45082</c:v>
                </c:pt>
                <c:pt idx="570">
                  <c:v>45083</c:v>
                </c:pt>
                <c:pt idx="571">
                  <c:v>45084</c:v>
                </c:pt>
                <c:pt idx="572">
                  <c:v>45085</c:v>
                </c:pt>
                <c:pt idx="573">
                  <c:v>45086</c:v>
                </c:pt>
                <c:pt idx="574">
                  <c:v>45089</c:v>
                </c:pt>
                <c:pt idx="575">
                  <c:v>45090</c:v>
                </c:pt>
                <c:pt idx="576">
                  <c:v>45091</c:v>
                </c:pt>
                <c:pt idx="577">
                  <c:v>45092</c:v>
                </c:pt>
                <c:pt idx="578">
                  <c:v>45093</c:v>
                </c:pt>
                <c:pt idx="579">
                  <c:v>45097</c:v>
                </c:pt>
                <c:pt idx="580">
                  <c:v>45098</c:v>
                </c:pt>
                <c:pt idx="581">
                  <c:v>45099</c:v>
                </c:pt>
                <c:pt idx="582">
                  <c:v>45100</c:v>
                </c:pt>
                <c:pt idx="583">
                  <c:v>45103</c:v>
                </c:pt>
                <c:pt idx="584">
                  <c:v>45104</c:v>
                </c:pt>
                <c:pt idx="585">
                  <c:v>45105</c:v>
                </c:pt>
                <c:pt idx="586">
                  <c:v>45106</c:v>
                </c:pt>
                <c:pt idx="587">
                  <c:v>45107</c:v>
                </c:pt>
                <c:pt idx="588">
                  <c:v>45110</c:v>
                </c:pt>
                <c:pt idx="589">
                  <c:v>45112</c:v>
                </c:pt>
                <c:pt idx="590">
                  <c:v>45113</c:v>
                </c:pt>
                <c:pt idx="591">
                  <c:v>45114</c:v>
                </c:pt>
                <c:pt idx="592">
                  <c:v>45117</c:v>
                </c:pt>
                <c:pt idx="593">
                  <c:v>45118</c:v>
                </c:pt>
                <c:pt idx="594">
                  <c:v>45119</c:v>
                </c:pt>
                <c:pt idx="595">
                  <c:v>45120</c:v>
                </c:pt>
                <c:pt idx="596">
                  <c:v>45121</c:v>
                </c:pt>
                <c:pt idx="597">
                  <c:v>45124</c:v>
                </c:pt>
                <c:pt idx="598">
                  <c:v>45125</c:v>
                </c:pt>
                <c:pt idx="599">
                  <c:v>45126</c:v>
                </c:pt>
                <c:pt idx="600">
                  <c:v>45127</c:v>
                </c:pt>
                <c:pt idx="601">
                  <c:v>45128</c:v>
                </c:pt>
                <c:pt idx="602">
                  <c:v>45131</c:v>
                </c:pt>
                <c:pt idx="603">
                  <c:v>45132</c:v>
                </c:pt>
                <c:pt idx="604">
                  <c:v>45133</c:v>
                </c:pt>
                <c:pt idx="605">
                  <c:v>45134</c:v>
                </c:pt>
                <c:pt idx="606">
                  <c:v>45135</c:v>
                </c:pt>
                <c:pt idx="607">
                  <c:v>45138</c:v>
                </c:pt>
                <c:pt idx="608">
                  <c:v>45139</c:v>
                </c:pt>
                <c:pt idx="609">
                  <c:v>45140</c:v>
                </c:pt>
                <c:pt idx="610">
                  <c:v>45141</c:v>
                </c:pt>
                <c:pt idx="611">
                  <c:v>45142</c:v>
                </c:pt>
                <c:pt idx="612">
                  <c:v>45145</c:v>
                </c:pt>
                <c:pt idx="613">
                  <c:v>45146</c:v>
                </c:pt>
                <c:pt idx="614">
                  <c:v>45147</c:v>
                </c:pt>
                <c:pt idx="615">
                  <c:v>45148</c:v>
                </c:pt>
                <c:pt idx="616">
                  <c:v>45149</c:v>
                </c:pt>
                <c:pt idx="617">
                  <c:v>45152</c:v>
                </c:pt>
                <c:pt idx="618">
                  <c:v>45153</c:v>
                </c:pt>
                <c:pt idx="619">
                  <c:v>45154</c:v>
                </c:pt>
                <c:pt idx="620">
                  <c:v>45155</c:v>
                </c:pt>
                <c:pt idx="621">
                  <c:v>45156</c:v>
                </c:pt>
                <c:pt idx="622">
                  <c:v>45159</c:v>
                </c:pt>
                <c:pt idx="623">
                  <c:v>45160</c:v>
                </c:pt>
                <c:pt idx="624">
                  <c:v>45161</c:v>
                </c:pt>
                <c:pt idx="625">
                  <c:v>45162</c:v>
                </c:pt>
                <c:pt idx="626">
                  <c:v>45163</c:v>
                </c:pt>
                <c:pt idx="627">
                  <c:v>45166</c:v>
                </c:pt>
                <c:pt idx="628">
                  <c:v>45167</c:v>
                </c:pt>
                <c:pt idx="629">
                  <c:v>45168</c:v>
                </c:pt>
                <c:pt idx="630">
                  <c:v>45169</c:v>
                </c:pt>
                <c:pt idx="631">
                  <c:v>45170</c:v>
                </c:pt>
                <c:pt idx="632">
                  <c:v>45174</c:v>
                </c:pt>
                <c:pt idx="633">
                  <c:v>45175</c:v>
                </c:pt>
                <c:pt idx="634">
                  <c:v>45176</c:v>
                </c:pt>
                <c:pt idx="635">
                  <c:v>45177</c:v>
                </c:pt>
                <c:pt idx="636">
                  <c:v>45180</c:v>
                </c:pt>
                <c:pt idx="637">
                  <c:v>45181</c:v>
                </c:pt>
                <c:pt idx="638">
                  <c:v>45182</c:v>
                </c:pt>
                <c:pt idx="639">
                  <c:v>45183</c:v>
                </c:pt>
                <c:pt idx="640">
                  <c:v>45184</c:v>
                </c:pt>
                <c:pt idx="641">
                  <c:v>45187</c:v>
                </c:pt>
                <c:pt idx="642">
                  <c:v>45188</c:v>
                </c:pt>
                <c:pt idx="643">
                  <c:v>45189</c:v>
                </c:pt>
                <c:pt idx="644">
                  <c:v>45190</c:v>
                </c:pt>
                <c:pt idx="645">
                  <c:v>45191</c:v>
                </c:pt>
                <c:pt idx="646">
                  <c:v>45194</c:v>
                </c:pt>
                <c:pt idx="647">
                  <c:v>45195</c:v>
                </c:pt>
                <c:pt idx="648">
                  <c:v>45196</c:v>
                </c:pt>
                <c:pt idx="649">
                  <c:v>45197</c:v>
                </c:pt>
                <c:pt idx="650">
                  <c:v>45198</c:v>
                </c:pt>
                <c:pt idx="651">
                  <c:v>45201</c:v>
                </c:pt>
                <c:pt idx="652">
                  <c:v>45202</c:v>
                </c:pt>
                <c:pt idx="653">
                  <c:v>45203</c:v>
                </c:pt>
                <c:pt idx="654">
                  <c:v>45204</c:v>
                </c:pt>
                <c:pt idx="655">
                  <c:v>45205</c:v>
                </c:pt>
                <c:pt idx="656">
                  <c:v>45208</c:v>
                </c:pt>
                <c:pt idx="657">
                  <c:v>45209</c:v>
                </c:pt>
                <c:pt idx="658">
                  <c:v>45210</c:v>
                </c:pt>
                <c:pt idx="659">
                  <c:v>45211</c:v>
                </c:pt>
                <c:pt idx="660">
                  <c:v>45212</c:v>
                </c:pt>
                <c:pt idx="661">
                  <c:v>45215</c:v>
                </c:pt>
                <c:pt idx="662">
                  <c:v>45216</c:v>
                </c:pt>
                <c:pt idx="663">
                  <c:v>45217</c:v>
                </c:pt>
                <c:pt idx="664">
                  <c:v>45218</c:v>
                </c:pt>
                <c:pt idx="665">
                  <c:v>45219</c:v>
                </c:pt>
                <c:pt idx="666">
                  <c:v>45222</c:v>
                </c:pt>
                <c:pt idx="667">
                  <c:v>45223</c:v>
                </c:pt>
                <c:pt idx="668">
                  <c:v>45224</c:v>
                </c:pt>
                <c:pt idx="669">
                  <c:v>45225</c:v>
                </c:pt>
                <c:pt idx="670">
                  <c:v>45226</c:v>
                </c:pt>
                <c:pt idx="671">
                  <c:v>45229</c:v>
                </c:pt>
                <c:pt idx="672">
                  <c:v>45230</c:v>
                </c:pt>
                <c:pt idx="673">
                  <c:v>45231</c:v>
                </c:pt>
                <c:pt idx="674">
                  <c:v>45232</c:v>
                </c:pt>
                <c:pt idx="675">
                  <c:v>45233</c:v>
                </c:pt>
                <c:pt idx="676">
                  <c:v>45236</c:v>
                </c:pt>
                <c:pt idx="677">
                  <c:v>45237</c:v>
                </c:pt>
                <c:pt idx="678">
                  <c:v>45238</c:v>
                </c:pt>
                <c:pt idx="679">
                  <c:v>45239</c:v>
                </c:pt>
                <c:pt idx="680">
                  <c:v>45240</c:v>
                </c:pt>
                <c:pt idx="681">
                  <c:v>45243</c:v>
                </c:pt>
                <c:pt idx="682">
                  <c:v>45244</c:v>
                </c:pt>
                <c:pt idx="683">
                  <c:v>45245</c:v>
                </c:pt>
                <c:pt idx="684">
                  <c:v>45246</c:v>
                </c:pt>
                <c:pt idx="685">
                  <c:v>45247</c:v>
                </c:pt>
                <c:pt idx="686">
                  <c:v>45250</c:v>
                </c:pt>
                <c:pt idx="687">
                  <c:v>45251</c:v>
                </c:pt>
                <c:pt idx="688">
                  <c:v>45252</c:v>
                </c:pt>
                <c:pt idx="689">
                  <c:v>45254</c:v>
                </c:pt>
                <c:pt idx="690">
                  <c:v>45257</c:v>
                </c:pt>
                <c:pt idx="691">
                  <c:v>45258</c:v>
                </c:pt>
                <c:pt idx="692">
                  <c:v>45259</c:v>
                </c:pt>
                <c:pt idx="693">
                  <c:v>45260</c:v>
                </c:pt>
                <c:pt idx="694">
                  <c:v>45261</c:v>
                </c:pt>
                <c:pt idx="695">
                  <c:v>45264</c:v>
                </c:pt>
                <c:pt idx="696">
                  <c:v>45265</c:v>
                </c:pt>
                <c:pt idx="697">
                  <c:v>45266</c:v>
                </c:pt>
                <c:pt idx="698">
                  <c:v>45267</c:v>
                </c:pt>
                <c:pt idx="699">
                  <c:v>45268</c:v>
                </c:pt>
                <c:pt idx="700">
                  <c:v>45271</c:v>
                </c:pt>
                <c:pt idx="701">
                  <c:v>45272</c:v>
                </c:pt>
                <c:pt idx="702">
                  <c:v>45273</c:v>
                </c:pt>
                <c:pt idx="703">
                  <c:v>45274</c:v>
                </c:pt>
                <c:pt idx="704">
                  <c:v>45275</c:v>
                </c:pt>
                <c:pt idx="705">
                  <c:v>45278</c:v>
                </c:pt>
                <c:pt idx="706">
                  <c:v>45279</c:v>
                </c:pt>
                <c:pt idx="707">
                  <c:v>45280</c:v>
                </c:pt>
                <c:pt idx="708">
                  <c:v>45281</c:v>
                </c:pt>
                <c:pt idx="709">
                  <c:v>45282</c:v>
                </c:pt>
                <c:pt idx="710">
                  <c:v>45286</c:v>
                </c:pt>
                <c:pt idx="711">
                  <c:v>45287</c:v>
                </c:pt>
                <c:pt idx="712">
                  <c:v>45288</c:v>
                </c:pt>
                <c:pt idx="713">
                  <c:v>45289</c:v>
                </c:pt>
                <c:pt idx="714">
                  <c:v>45293</c:v>
                </c:pt>
                <c:pt idx="715">
                  <c:v>45294</c:v>
                </c:pt>
                <c:pt idx="716">
                  <c:v>45295</c:v>
                </c:pt>
                <c:pt idx="717">
                  <c:v>45296</c:v>
                </c:pt>
                <c:pt idx="718">
                  <c:v>45299</c:v>
                </c:pt>
                <c:pt idx="719">
                  <c:v>45300</c:v>
                </c:pt>
                <c:pt idx="720">
                  <c:v>45301</c:v>
                </c:pt>
                <c:pt idx="721">
                  <c:v>45302</c:v>
                </c:pt>
                <c:pt idx="722">
                  <c:v>45303</c:v>
                </c:pt>
                <c:pt idx="723">
                  <c:v>45307</c:v>
                </c:pt>
                <c:pt idx="724">
                  <c:v>45308</c:v>
                </c:pt>
                <c:pt idx="725">
                  <c:v>45309</c:v>
                </c:pt>
                <c:pt idx="726">
                  <c:v>45310</c:v>
                </c:pt>
                <c:pt idx="727">
                  <c:v>45313</c:v>
                </c:pt>
                <c:pt idx="728">
                  <c:v>45314</c:v>
                </c:pt>
                <c:pt idx="729">
                  <c:v>45315</c:v>
                </c:pt>
                <c:pt idx="730">
                  <c:v>45316</c:v>
                </c:pt>
                <c:pt idx="731">
                  <c:v>45317</c:v>
                </c:pt>
                <c:pt idx="732">
                  <c:v>45320</c:v>
                </c:pt>
                <c:pt idx="733">
                  <c:v>45321</c:v>
                </c:pt>
                <c:pt idx="734">
                  <c:v>45322</c:v>
                </c:pt>
                <c:pt idx="735">
                  <c:v>45323</c:v>
                </c:pt>
                <c:pt idx="736">
                  <c:v>45324</c:v>
                </c:pt>
                <c:pt idx="737">
                  <c:v>45327</c:v>
                </c:pt>
                <c:pt idx="738">
                  <c:v>45328</c:v>
                </c:pt>
                <c:pt idx="739">
                  <c:v>45329</c:v>
                </c:pt>
                <c:pt idx="740">
                  <c:v>45330</c:v>
                </c:pt>
                <c:pt idx="741">
                  <c:v>45331</c:v>
                </c:pt>
                <c:pt idx="742">
                  <c:v>45334</c:v>
                </c:pt>
                <c:pt idx="743">
                  <c:v>45335</c:v>
                </c:pt>
                <c:pt idx="744">
                  <c:v>45336</c:v>
                </c:pt>
                <c:pt idx="745">
                  <c:v>45337</c:v>
                </c:pt>
                <c:pt idx="746">
                  <c:v>45338</c:v>
                </c:pt>
                <c:pt idx="747">
                  <c:v>45342</c:v>
                </c:pt>
                <c:pt idx="748">
                  <c:v>45343</c:v>
                </c:pt>
                <c:pt idx="749">
                  <c:v>45344</c:v>
                </c:pt>
                <c:pt idx="750">
                  <c:v>45345</c:v>
                </c:pt>
                <c:pt idx="751">
                  <c:v>45348</c:v>
                </c:pt>
                <c:pt idx="752">
                  <c:v>45349</c:v>
                </c:pt>
                <c:pt idx="753">
                  <c:v>45350</c:v>
                </c:pt>
                <c:pt idx="754">
                  <c:v>45351</c:v>
                </c:pt>
                <c:pt idx="755">
                  <c:v>45352</c:v>
                </c:pt>
                <c:pt idx="756">
                  <c:v>45355</c:v>
                </c:pt>
                <c:pt idx="757">
                  <c:v>45356</c:v>
                </c:pt>
                <c:pt idx="758">
                  <c:v>45357</c:v>
                </c:pt>
                <c:pt idx="759">
                  <c:v>45358</c:v>
                </c:pt>
                <c:pt idx="760">
                  <c:v>45359</c:v>
                </c:pt>
                <c:pt idx="761">
                  <c:v>45362</c:v>
                </c:pt>
                <c:pt idx="762">
                  <c:v>45363</c:v>
                </c:pt>
                <c:pt idx="763">
                  <c:v>45364</c:v>
                </c:pt>
                <c:pt idx="764">
                  <c:v>45365</c:v>
                </c:pt>
                <c:pt idx="765">
                  <c:v>45366</c:v>
                </c:pt>
                <c:pt idx="766">
                  <c:v>45369</c:v>
                </c:pt>
                <c:pt idx="767">
                  <c:v>45370</c:v>
                </c:pt>
                <c:pt idx="768">
                  <c:v>45371</c:v>
                </c:pt>
                <c:pt idx="769">
                  <c:v>45372</c:v>
                </c:pt>
                <c:pt idx="770">
                  <c:v>45373</c:v>
                </c:pt>
                <c:pt idx="771">
                  <c:v>45376</c:v>
                </c:pt>
                <c:pt idx="772">
                  <c:v>45377</c:v>
                </c:pt>
                <c:pt idx="773">
                  <c:v>45378</c:v>
                </c:pt>
                <c:pt idx="774">
                  <c:v>45379</c:v>
                </c:pt>
                <c:pt idx="775">
                  <c:v>45383</c:v>
                </c:pt>
                <c:pt idx="776">
                  <c:v>45384</c:v>
                </c:pt>
                <c:pt idx="777">
                  <c:v>45385</c:v>
                </c:pt>
                <c:pt idx="778">
                  <c:v>45386</c:v>
                </c:pt>
                <c:pt idx="779">
                  <c:v>45387</c:v>
                </c:pt>
                <c:pt idx="780">
                  <c:v>45390</c:v>
                </c:pt>
                <c:pt idx="781">
                  <c:v>45391</c:v>
                </c:pt>
                <c:pt idx="782">
                  <c:v>45392</c:v>
                </c:pt>
                <c:pt idx="783">
                  <c:v>45393</c:v>
                </c:pt>
                <c:pt idx="784">
                  <c:v>45394</c:v>
                </c:pt>
                <c:pt idx="785">
                  <c:v>45397</c:v>
                </c:pt>
                <c:pt idx="786">
                  <c:v>45398</c:v>
                </c:pt>
                <c:pt idx="787">
                  <c:v>45399</c:v>
                </c:pt>
                <c:pt idx="788">
                  <c:v>45400</c:v>
                </c:pt>
                <c:pt idx="789">
                  <c:v>45401</c:v>
                </c:pt>
                <c:pt idx="790">
                  <c:v>45404</c:v>
                </c:pt>
                <c:pt idx="791">
                  <c:v>45405</c:v>
                </c:pt>
                <c:pt idx="792">
                  <c:v>45406</c:v>
                </c:pt>
                <c:pt idx="793">
                  <c:v>45407</c:v>
                </c:pt>
                <c:pt idx="794">
                  <c:v>45408</c:v>
                </c:pt>
                <c:pt idx="795">
                  <c:v>45411</c:v>
                </c:pt>
                <c:pt idx="796">
                  <c:v>45412</c:v>
                </c:pt>
                <c:pt idx="797">
                  <c:v>45413</c:v>
                </c:pt>
                <c:pt idx="798">
                  <c:v>45414</c:v>
                </c:pt>
                <c:pt idx="799">
                  <c:v>45415</c:v>
                </c:pt>
                <c:pt idx="800">
                  <c:v>45418</c:v>
                </c:pt>
                <c:pt idx="801">
                  <c:v>45419</c:v>
                </c:pt>
                <c:pt idx="802">
                  <c:v>45420</c:v>
                </c:pt>
                <c:pt idx="803">
                  <c:v>45421</c:v>
                </c:pt>
                <c:pt idx="804">
                  <c:v>45422</c:v>
                </c:pt>
                <c:pt idx="805">
                  <c:v>45425</c:v>
                </c:pt>
                <c:pt idx="806">
                  <c:v>45426</c:v>
                </c:pt>
                <c:pt idx="807">
                  <c:v>45427</c:v>
                </c:pt>
                <c:pt idx="808">
                  <c:v>45428</c:v>
                </c:pt>
                <c:pt idx="809">
                  <c:v>45429</c:v>
                </c:pt>
                <c:pt idx="810">
                  <c:v>45432</c:v>
                </c:pt>
                <c:pt idx="811">
                  <c:v>45433</c:v>
                </c:pt>
                <c:pt idx="812">
                  <c:v>45434</c:v>
                </c:pt>
                <c:pt idx="813">
                  <c:v>45435</c:v>
                </c:pt>
                <c:pt idx="814">
                  <c:v>45436</c:v>
                </c:pt>
                <c:pt idx="815">
                  <c:v>45440</c:v>
                </c:pt>
                <c:pt idx="816">
                  <c:v>45441</c:v>
                </c:pt>
                <c:pt idx="817">
                  <c:v>45442</c:v>
                </c:pt>
                <c:pt idx="818">
                  <c:v>45443</c:v>
                </c:pt>
                <c:pt idx="819">
                  <c:v>45446</c:v>
                </c:pt>
                <c:pt idx="820">
                  <c:v>45447</c:v>
                </c:pt>
                <c:pt idx="821">
                  <c:v>45448</c:v>
                </c:pt>
                <c:pt idx="822">
                  <c:v>45449</c:v>
                </c:pt>
                <c:pt idx="823">
                  <c:v>45450</c:v>
                </c:pt>
                <c:pt idx="824">
                  <c:v>45453</c:v>
                </c:pt>
                <c:pt idx="825">
                  <c:v>45454</c:v>
                </c:pt>
                <c:pt idx="826">
                  <c:v>45455</c:v>
                </c:pt>
                <c:pt idx="827">
                  <c:v>45456</c:v>
                </c:pt>
                <c:pt idx="828">
                  <c:v>45457</c:v>
                </c:pt>
                <c:pt idx="829">
                  <c:v>45460</c:v>
                </c:pt>
                <c:pt idx="830">
                  <c:v>45461</c:v>
                </c:pt>
                <c:pt idx="831">
                  <c:v>45463</c:v>
                </c:pt>
                <c:pt idx="832">
                  <c:v>45464</c:v>
                </c:pt>
                <c:pt idx="833">
                  <c:v>45467</c:v>
                </c:pt>
                <c:pt idx="834">
                  <c:v>45468</c:v>
                </c:pt>
                <c:pt idx="835">
                  <c:v>45469</c:v>
                </c:pt>
                <c:pt idx="836">
                  <c:v>45470</c:v>
                </c:pt>
                <c:pt idx="837">
                  <c:v>45471</c:v>
                </c:pt>
                <c:pt idx="838">
                  <c:v>45474</c:v>
                </c:pt>
                <c:pt idx="839">
                  <c:v>45475</c:v>
                </c:pt>
                <c:pt idx="840">
                  <c:v>45476</c:v>
                </c:pt>
                <c:pt idx="841">
                  <c:v>45478</c:v>
                </c:pt>
                <c:pt idx="842">
                  <c:v>45481</c:v>
                </c:pt>
                <c:pt idx="843">
                  <c:v>45482</c:v>
                </c:pt>
                <c:pt idx="844">
                  <c:v>45483</c:v>
                </c:pt>
                <c:pt idx="845">
                  <c:v>45484</c:v>
                </c:pt>
                <c:pt idx="846">
                  <c:v>45485</c:v>
                </c:pt>
                <c:pt idx="847">
                  <c:v>45488</c:v>
                </c:pt>
                <c:pt idx="848">
                  <c:v>45489</c:v>
                </c:pt>
                <c:pt idx="849">
                  <c:v>45490</c:v>
                </c:pt>
                <c:pt idx="850">
                  <c:v>45491</c:v>
                </c:pt>
                <c:pt idx="851">
                  <c:v>45492</c:v>
                </c:pt>
                <c:pt idx="852">
                  <c:v>45495</c:v>
                </c:pt>
                <c:pt idx="853">
                  <c:v>45496</c:v>
                </c:pt>
                <c:pt idx="854">
                  <c:v>45497</c:v>
                </c:pt>
                <c:pt idx="855">
                  <c:v>45498</c:v>
                </c:pt>
                <c:pt idx="856">
                  <c:v>45499</c:v>
                </c:pt>
                <c:pt idx="857">
                  <c:v>45502</c:v>
                </c:pt>
                <c:pt idx="858">
                  <c:v>45503</c:v>
                </c:pt>
                <c:pt idx="859">
                  <c:v>45504</c:v>
                </c:pt>
                <c:pt idx="860">
                  <c:v>45505</c:v>
                </c:pt>
                <c:pt idx="861">
                  <c:v>45506</c:v>
                </c:pt>
                <c:pt idx="862">
                  <c:v>45509</c:v>
                </c:pt>
                <c:pt idx="863">
                  <c:v>45510</c:v>
                </c:pt>
                <c:pt idx="864">
                  <c:v>45511</c:v>
                </c:pt>
                <c:pt idx="865">
                  <c:v>45512</c:v>
                </c:pt>
                <c:pt idx="866">
                  <c:v>45513</c:v>
                </c:pt>
                <c:pt idx="867">
                  <c:v>45516</c:v>
                </c:pt>
                <c:pt idx="868">
                  <c:v>45517</c:v>
                </c:pt>
                <c:pt idx="869">
                  <c:v>45518</c:v>
                </c:pt>
                <c:pt idx="870">
                  <c:v>45519</c:v>
                </c:pt>
                <c:pt idx="871">
                  <c:v>45520</c:v>
                </c:pt>
                <c:pt idx="872">
                  <c:v>45523</c:v>
                </c:pt>
                <c:pt idx="873">
                  <c:v>45524</c:v>
                </c:pt>
                <c:pt idx="874">
                  <c:v>45525</c:v>
                </c:pt>
                <c:pt idx="875">
                  <c:v>45526</c:v>
                </c:pt>
                <c:pt idx="876">
                  <c:v>45527</c:v>
                </c:pt>
                <c:pt idx="877">
                  <c:v>45530</c:v>
                </c:pt>
                <c:pt idx="878">
                  <c:v>45531</c:v>
                </c:pt>
                <c:pt idx="879">
                  <c:v>45532</c:v>
                </c:pt>
                <c:pt idx="880">
                  <c:v>45533</c:v>
                </c:pt>
                <c:pt idx="881">
                  <c:v>45534</c:v>
                </c:pt>
                <c:pt idx="882">
                  <c:v>45538</c:v>
                </c:pt>
                <c:pt idx="883">
                  <c:v>45539</c:v>
                </c:pt>
                <c:pt idx="884">
                  <c:v>45540</c:v>
                </c:pt>
                <c:pt idx="885">
                  <c:v>45541</c:v>
                </c:pt>
                <c:pt idx="886">
                  <c:v>45544</c:v>
                </c:pt>
                <c:pt idx="887">
                  <c:v>45545</c:v>
                </c:pt>
                <c:pt idx="888">
                  <c:v>45546</c:v>
                </c:pt>
                <c:pt idx="889">
                  <c:v>45547</c:v>
                </c:pt>
                <c:pt idx="890">
                  <c:v>45548</c:v>
                </c:pt>
                <c:pt idx="891">
                  <c:v>45551</c:v>
                </c:pt>
                <c:pt idx="892">
                  <c:v>45552</c:v>
                </c:pt>
                <c:pt idx="893">
                  <c:v>45553</c:v>
                </c:pt>
                <c:pt idx="894">
                  <c:v>45554</c:v>
                </c:pt>
                <c:pt idx="895">
                  <c:v>45555</c:v>
                </c:pt>
                <c:pt idx="896">
                  <c:v>45558</c:v>
                </c:pt>
                <c:pt idx="897">
                  <c:v>45559</c:v>
                </c:pt>
                <c:pt idx="898">
                  <c:v>45560</c:v>
                </c:pt>
                <c:pt idx="899">
                  <c:v>45561</c:v>
                </c:pt>
                <c:pt idx="900">
                  <c:v>45562</c:v>
                </c:pt>
                <c:pt idx="901">
                  <c:v>45565</c:v>
                </c:pt>
                <c:pt idx="902">
                  <c:v>45566</c:v>
                </c:pt>
                <c:pt idx="903">
                  <c:v>45567</c:v>
                </c:pt>
                <c:pt idx="904">
                  <c:v>45568</c:v>
                </c:pt>
                <c:pt idx="905">
                  <c:v>45569</c:v>
                </c:pt>
                <c:pt idx="906">
                  <c:v>45572</c:v>
                </c:pt>
                <c:pt idx="907">
                  <c:v>45573</c:v>
                </c:pt>
                <c:pt idx="908">
                  <c:v>45574</c:v>
                </c:pt>
                <c:pt idx="909">
                  <c:v>45575</c:v>
                </c:pt>
                <c:pt idx="910">
                  <c:v>45576</c:v>
                </c:pt>
                <c:pt idx="911">
                  <c:v>45579</c:v>
                </c:pt>
                <c:pt idx="912">
                  <c:v>45580</c:v>
                </c:pt>
                <c:pt idx="913">
                  <c:v>45581</c:v>
                </c:pt>
                <c:pt idx="914">
                  <c:v>45582</c:v>
                </c:pt>
                <c:pt idx="915">
                  <c:v>45583</c:v>
                </c:pt>
                <c:pt idx="916">
                  <c:v>45586</c:v>
                </c:pt>
                <c:pt idx="917">
                  <c:v>45587</c:v>
                </c:pt>
                <c:pt idx="918">
                  <c:v>45588</c:v>
                </c:pt>
                <c:pt idx="919">
                  <c:v>45589</c:v>
                </c:pt>
                <c:pt idx="920">
                  <c:v>45590</c:v>
                </c:pt>
                <c:pt idx="921">
                  <c:v>45593</c:v>
                </c:pt>
                <c:pt idx="922">
                  <c:v>45594</c:v>
                </c:pt>
                <c:pt idx="923">
                  <c:v>45595</c:v>
                </c:pt>
                <c:pt idx="924">
                  <c:v>45596</c:v>
                </c:pt>
                <c:pt idx="925">
                  <c:v>45597</c:v>
                </c:pt>
                <c:pt idx="926">
                  <c:v>45600</c:v>
                </c:pt>
                <c:pt idx="927">
                  <c:v>45601</c:v>
                </c:pt>
                <c:pt idx="928">
                  <c:v>45602</c:v>
                </c:pt>
                <c:pt idx="929">
                  <c:v>45603</c:v>
                </c:pt>
                <c:pt idx="930">
                  <c:v>45604</c:v>
                </c:pt>
                <c:pt idx="931">
                  <c:v>45607</c:v>
                </c:pt>
                <c:pt idx="932">
                  <c:v>45608</c:v>
                </c:pt>
                <c:pt idx="933">
                  <c:v>45609</c:v>
                </c:pt>
                <c:pt idx="934">
                  <c:v>45610</c:v>
                </c:pt>
                <c:pt idx="935">
                  <c:v>45611</c:v>
                </c:pt>
                <c:pt idx="936">
                  <c:v>45614</c:v>
                </c:pt>
                <c:pt idx="937">
                  <c:v>45615</c:v>
                </c:pt>
                <c:pt idx="938">
                  <c:v>45616</c:v>
                </c:pt>
                <c:pt idx="939">
                  <c:v>45617</c:v>
                </c:pt>
                <c:pt idx="940">
                  <c:v>45618</c:v>
                </c:pt>
                <c:pt idx="941">
                  <c:v>45621</c:v>
                </c:pt>
                <c:pt idx="942">
                  <c:v>45622</c:v>
                </c:pt>
                <c:pt idx="943">
                  <c:v>45623</c:v>
                </c:pt>
                <c:pt idx="944">
                  <c:v>45625</c:v>
                </c:pt>
                <c:pt idx="945">
                  <c:v>45628</c:v>
                </c:pt>
                <c:pt idx="946">
                  <c:v>45629</c:v>
                </c:pt>
                <c:pt idx="947">
                  <c:v>45630</c:v>
                </c:pt>
                <c:pt idx="948">
                  <c:v>45631</c:v>
                </c:pt>
                <c:pt idx="949">
                  <c:v>45632</c:v>
                </c:pt>
                <c:pt idx="950">
                  <c:v>45635</c:v>
                </c:pt>
                <c:pt idx="951">
                  <c:v>45636</c:v>
                </c:pt>
                <c:pt idx="952">
                  <c:v>45637</c:v>
                </c:pt>
                <c:pt idx="953">
                  <c:v>45638</c:v>
                </c:pt>
                <c:pt idx="954">
                  <c:v>45639</c:v>
                </c:pt>
                <c:pt idx="955">
                  <c:v>45642</c:v>
                </c:pt>
                <c:pt idx="956">
                  <c:v>45643</c:v>
                </c:pt>
                <c:pt idx="957">
                  <c:v>45644</c:v>
                </c:pt>
                <c:pt idx="958">
                  <c:v>45645</c:v>
                </c:pt>
                <c:pt idx="959">
                  <c:v>45646</c:v>
                </c:pt>
                <c:pt idx="960">
                  <c:v>45649</c:v>
                </c:pt>
                <c:pt idx="961">
                  <c:v>45650</c:v>
                </c:pt>
                <c:pt idx="962">
                  <c:v>45652</c:v>
                </c:pt>
                <c:pt idx="963">
                  <c:v>45653</c:v>
                </c:pt>
                <c:pt idx="964">
                  <c:v>45656</c:v>
                </c:pt>
                <c:pt idx="965">
                  <c:v>45657</c:v>
                </c:pt>
                <c:pt idx="966">
                  <c:v>45659</c:v>
                </c:pt>
                <c:pt idx="967">
                  <c:v>45660</c:v>
                </c:pt>
                <c:pt idx="968">
                  <c:v>45663</c:v>
                </c:pt>
                <c:pt idx="969">
                  <c:v>45664</c:v>
                </c:pt>
                <c:pt idx="970">
                  <c:v>45665</c:v>
                </c:pt>
                <c:pt idx="971">
                  <c:v>45667</c:v>
                </c:pt>
                <c:pt idx="972">
                  <c:v>45670</c:v>
                </c:pt>
                <c:pt idx="973">
                  <c:v>45671</c:v>
                </c:pt>
                <c:pt idx="974">
                  <c:v>45672</c:v>
                </c:pt>
                <c:pt idx="975">
                  <c:v>45673</c:v>
                </c:pt>
                <c:pt idx="976">
                  <c:v>45674</c:v>
                </c:pt>
                <c:pt idx="977">
                  <c:v>45678</c:v>
                </c:pt>
                <c:pt idx="978">
                  <c:v>45679</c:v>
                </c:pt>
                <c:pt idx="979">
                  <c:v>45680</c:v>
                </c:pt>
                <c:pt idx="980">
                  <c:v>45681</c:v>
                </c:pt>
                <c:pt idx="981">
                  <c:v>45684</c:v>
                </c:pt>
                <c:pt idx="982">
                  <c:v>45685</c:v>
                </c:pt>
                <c:pt idx="983">
                  <c:v>45686</c:v>
                </c:pt>
                <c:pt idx="984">
                  <c:v>45687</c:v>
                </c:pt>
                <c:pt idx="985">
                  <c:v>45688</c:v>
                </c:pt>
                <c:pt idx="986">
                  <c:v>45691</c:v>
                </c:pt>
                <c:pt idx="987">
                  <c:v>45692</c:v>
                </c:pt>
                <c:pt idx="988">
                  <c:v>45693</c:v>
                </c:pt>
                <c:pt idx="989">
                  <c:v>45694</c:v>
                </c:pt>
                <c:pt idx="990">
                  <c:v>45695</c:v>
                </c:pt>
                <c:pt idx="991">
                  <c:v>45698</c:v>
                </c:pt>
                <c:pt idx="992">
                  <c:v>45699</c:v>
                </c:pt>
                <c:pt idx="993">
                  <c:v>45700</c:v>
                </c:pt>
                <c:pt idx="994">
                  <c:v>45701</c:v>
                </c:pt>
                <c:pt idx="995">
                  <c:v>45702</c:v>
                </c:pt>
                <c:pt idx="996">
                  <c:v>45706</c:v>
                </c:pt>
                <c:pt idx="997">
                  <c:v>45707</c:v>
                </c:pt>
                <c:pt idx="998">
                  <c:v>45708</c:v>
                </c:pt>
                <c:pt idx="999">
                  <c:v>45709</c:v>
                </c:pt>
                <c:pt idx="1000">
                  <c:v>45712</c:v>
                </c:pt>
                <c:pt idx="1001">
                  <c:v>45713</c:v>
                </c:pt>
                <c:pt idx="1002">
                  <c:v>45714</c:v>
                </c:pt>
                <c:pt idx="1003">
                  <c:v>45715</c:v>
                </c:pt>
                <c:pt idx="1004">
                  <c:v>45716</c:v>
                </c:pt>
                <c:pt idx="1005">
                  <c:v>45719</c:v>
                </c:pt>
                <c:pt idx="1006">
                  <c:v>45720</c:v>
                </c:pt>
                <c:pt idx="1007">
                  <c:v>45721</c:v>
                </c:pt>
                <c:pt idx="1008">
                  <c:v>45722</c:v>
                </c:pt>
                <c:pt idx="1009">
                  <c:v>45723</c:v>
                </c:pt>
                <c:pt idx="1010">
                  <c:v>45726</c:v>
                </c:pt>
                <c:pt idx="1011">
                  <c:v>45727</c:v>
                </c:pt>
                <c:pt idx="1012">
                  <c:v>45728</c:v>
                </c:pt>
                <c:pt idx="1013">
                  <c:v>45729</c:v>
                </c:pt>
                <c:pt idx="1014">
                  <c:v>45730</c:v>
                </c:pt>
                <c:pt idx="1015">
                  <c:v>45733</c:v>
                </c:pt>
                <c:pt idx="1016">
                  <c:v>45734</c:v>
                </c:pt>
                <c:pt idx="1017">
                  <c:v>45735</c:v>
                </c:pt>
                <c:pt idx="1018">
                  <c:v>45736</c:v>
                </c:pt>
                <c:pt idx="1019">
                  <c:v>45737</c:v>
                </c:pt>
                <c:pt idx="1020">
                  <c:v>45740</c:v>
                </c:pt>
                <c:pt idx="1021">
                  <c:v>45741</c:v>
                </c:pt>
                <c:pt idx="1022">
                  <c:v>45742</c:v>
                </c:pt>
                <c:pt idx="1023">
                  <c:v>45743</c:v>
                </c:pt>
                <c:pt idx="1024">
                  <c:v>45744</c:v>
                </c:pt>
                <c:pt idx="1025">
                  <c:v>45747</c:v>
                </c:pt>
                <c:pt idx="1026">
                  <c:v>45748</c:v>
                </c:pt>
                <c:pt idx="1027">
                  <c:v>45749</c:v>
                </c:pt>
                <c:pt idx="1028">
                  <c:v>45750</c:v>
                </c:pt>
                <c:pt idx="1029">
                  <c:v>45751</c:v>
                </c:pt>
                <c:pt idx="1030">
                  <c:v>45754</c:v>
                </c:pt>
                <c:pt idx="1031">
                  <c:v>45755</c:v>
                </c:pt>
                <c:pt idx="1032">
                  <c:v>45756</c:v>
                </c:pt>
                <c:pt idx="1033">
                  <c:v>45757</c:v>
                </c:pt>
                <c:pt idx="1034">
                  <c:v>45758</c:v>
                </c:pt>
                <c:pt idx="1035">
                  <c:v>45761</c:v>
                </c:pt>
                <c:pt idx="1036">
                  <c:v>45762</c:v>
                </c:pt>
                <c:pt idx="1037">
                  <c:v>45763</c:v>
                </c:pt>
                <c:pt idx="1038">
                  <c:v>45764</c:v>
                </c:pt>
                <c:pt idx="1039">
                  <c:v>45768</c:v>
                </c:pt>
                <c:pt idx="1040">
                  <c:v>45769</c:v>
                </c:pt>
                <c:pt idx="1041">
                  <c:v>45770</c:v>
                </c:pt>
                <c:pt idx="1042">
                  <c:v>45771</c:v>
                </c:pt>
                <c:pt idx="1043">
                  <c:v>45772</c:v>
                </c:pt>
                <c:pt idx="1044">
                  <c:v>45775</c:v>
                </c:pt>
                <c:pt idx="1045">
                  <c:v>45776</c:v>
                </c:pt>
                <c:pt idx="1046">
                  <c:v>45777</c:v>
                </c:pt>
                <c:pt idx="1047">
                  <c:v>45778</c:v>
                </c:pt>
                <c:pt idx="1048">
                  <c:v>45779</c:v>
                </c:pt>
                <c:pt idx="1049">
                  <c:v>45782</c:v>
                </c:pt>
                <c:pt idx="1050">
                  <c:v>45783</c:v>
                </c:pt>
                <c:pt idx="1051">
                  <c:v>45784</c:v>
                </c:pt>
                <c:pt idx="1052">
                  <c:v>45785</c:v>
                </c:pt>
                <c:pt idx="1053">
                  <c:v>45786</c:v>
                </c:pt>
                <c:pt idx="1054">
                  <c:v>45789</c:v>
                </c:pt>
                <c:pt idx="1055">
                  <c:v>45790</c:v>
                </c:pt>
                <c:pt idx="1056">
                  <c:v>45791</c:v>
                </c:pt>
                <c:pt idx="1057">
                  <c:v>45792</c:v>
                </c:pt>
                <c:pt idx="1058">
                  <c:v>45793</c:v>
                </c:pt>
                <c:pt idx="1059">
                  <c:v>45796</c:v>
                </c:pt>
                <c:pt idx="1060">
                  <c:v>45797</c:v>
                </c:pt>
                <c:pt idx="1061">
                  <c:v>45798</c:v>
                </c:pt>
                <c:pt idx="1062">
                  <c:v>45799</c:v>
                </c:pt>
                <c:pt idx="1063">
                  <c:v>45800</c:v>
                </c:pt>
                <c:pt idx="1064">
                  <c:v>45804</c:v>
                </c:pt>
                <c:pt idx="1065">
                  <c:v>45805</c:v>
                </c:pt>
                <c:pt idx="1066">
                  <c:v>45806</c:v>
                </c:pt>
                <c:pt idx="1067">
                  <c:v>45807</c:v>
                </c:pt>
                <c:pt idx="1068">
                  <c:v>45810</c:v>
                </c:pt>
                <c:pt idx="1069">
                  <c:v>45811</c:v>
                </c:pt>
                <c:pt idx="1070">
                  <c:v>45812</c:v>
                </c:pt>
                <c:pt idx="1071">
                  <c:v>45813</c:v>
                </c:pt>
                <c:pt idx="1072">
                  <c:v>45814</c:v>
                </c:pt>
                <c:pt idx="1073">
                  <c:v>45817</c:v>
                </c:pt>
                <c:pt idx="1074">
                  <c:v>45818</c:v>
                </c:pt>
                <c:pt idx="1075">
                  <c:v>45819</c:v>
                </c:pt>
                <c:pt idx="1076">
                  <c:v>45820</c:v>
                </c:pt>
                <c:pt idx="1077">
                  <c:v>45821</c:v>
                </c:pt>
                <c:pt idx="1078">
                  <c:v>45824</c:v>
                </c:pt>
                <c:pt idx="1079">
                  <c:v>45825</c:v>
                </c:pt>
                <c:pt idx="1080">
                  <c:v>45826</c:v>
                </c:pt>
                <c:pt idx="1081">
                  <c:v>45828</c:v>
                </c:pt>
                <c:pt idx="1082">
                  <c:v>45831</c:v>
                </c:pt>
                <c:pt idx="1083">
                  <c:v>45832</c:v>
                </c:pt>
                <c:pt idx="1084">
                  <c:v>45833</c:v>
                </c:pt>
                <c:pt idx="1085">
                  <c:v>45834</c:v>
                </c:pt>
                <c:pt idx="1086">
                  <c:v>45835</c:v>
                </c:pt>
                <c:pt idx="1087">
                  <c:v>45838</c:v>
                </c:pt>
                <c:pt idx="1088">
                  <c:v>45839</c:v>
                </c:pt>
                <c:pt idx="1089">
                  <c:v>45840</c:v>
                </c:pt>
                <c:pt idx="1090">
                  <c:v>45841</c:v>
                </c:pt>
                <c:pt idx="1091">
                  <c:v>45845</c:v>
                </c:pt>
                <c:pt idx="1092">
                  <c:v>45846</c:v>
                </c:pt>
                <c:pt idx="1093">
                  <c:v>45847</c:v>
                </c:pt>
                <c:pt idx="1094">
                  <c:v>45848</c:v>
                </c:pt>
                <c:pt idx="1095">
                  <c:v>45849</c:v>
                </c:pt>
                <c:pt idx="1096">
                  <c:v>45852</c:v>
                </c:pt>
                <c:pt idx="1097">
                  <c:v>45853</c:v>
                </c:pt>
                <c:pt idx="1098">
                  <c:v>45854</c:v>
                </c:pt>
                <c:pt idx="1099">
                  <c:v>45855</c:v>
                </c:pt>
                <c:pt idx="1100">
                  <c:v>45856</c:v>
                </c:pt>
                <c:pt idx="1101">
                  <c:v>45859</c:v>
                </c:pt>
                <c:pt idx="1102">
                  <c:v>45860</c:v>
                </c:pt>
                <c:pt idx="1103">
                  <c:v>45861</c:v>
                </c:pt>
                <c:pt idx="1104">
                  <c:v>45862</c:v>
                </c:pt>
                <c:pt idx="1105">
                  <c:v>45863</c:v>
                </c:pt>
                <c:pt idx="1106">
                  <c:v>45866</c:v>
                </c:pt>
                <c:pt idx="1107">
                  <c:v>45867</c:v>
                </c:pt>
                <c:pt idx="1108">
                  <c:v>45868</c:v>
                </c:pt>
                <c:pt idx="1109">
                  <c:v>45869</c:v>
                </c:pt>
                <c:pt idx="1110">
                  <c:v>45870</c:v>
                </c:pt>
                <c:pt idx="1111">
                  <c:v>45873</c:v>
                </c:pt>
                <c:pt idx="1112">
                  <c:v>45874</c:v>
                </c:pt>
                <c:pt idx="1113">
                  <c:v>45875</c:v>
                </c:pt>
                <c:pt idx="1114">
                  <c:v>45876</c:v>
                </c:pt>
                <c:pt idx="1115">
                  <c:v>45877</c:v>
                </c:pt>
                <c:pt idx="1116">
                  <c:v>45880</c:v>
                </c:pt>
                <c:pt idx="1117">
                  <c:v>45881</c:v>
                </c:pt>
                <c:pt idx="1118">
                  <c:v>45882</c:v>
                </c:pt>
                <c:pt idx="1119">
                  <c:v>45883</c:v>
                </c:pt>
                <c:pt idx="1120">
                  <c:v>45884</c:v>
                </c:pt>
                <c:pt idx="1121">
                  <c:v>45887</c:v>
                </c:pt>
                <c:pt idx="1122">
                  <c:v>45888</c:v>
                </c:pt>
                <c:pt idx="1123">
                  <c:v>45889</c:v>
                </c:pt>
                <c:pt idx="1124">
                  <c:v>45890</c:v>
                </c:pt>
                <c:pt idx="1125">
                  <c:v>45891</c:v>
                </c:pt>
                <c:pt idx="1126">
                  <c:v>45894</c:v>
                </c:pt>
                <c:pt idx="1127">
                  <c:v>45895</c:v>
                </c:pt>
                <c:pt idx="1128">
                  <c:v>45896</c:v>
                </c:pt>
                <c:pt idx="1129">
                  <c:v>45897</c:v>
                </c:pt>
                <c:pt idx="1130">
                  <c:v>45898</c:v>
                </c:pt>
                <c:pt idx="1131">
                  <c:v>45902</c:v>
                </c:pt>
                <c:pt idx="1132">
                  <c:v>45903</c:v>
                </c:pt>
                <c:pt idx="1133">
                  <c:v>45904</c:v>
                </c:pt>
                <c:pt idx="1134">
                  <c:v>45905</c:v>
                </c:pt>
                <c:pt idx="1135">
                  <c:v>45908</c:v>
                </c:pt>
                <c:pt idx="1136">
                  <c:v>45909</c:v>
                </c:pt>
                <c:pt idx="1137">
                  <c:v>45910</c:v>
                </c:pt>
                <c:pt idx="1138">
                  <c:v>45911</c:v>
                </c:pt>
                <c:pt idx="1139">
                  <c:v>45912</c:v>
                </c:pt>
                <c:pt idx="1140">
                  <c:v>45915</c:v>
                </c:pt>
                <c:pt idx="1141">
                  <c:v>45916</c:v>
                </c:pt>
                <c:pt idx="1142">
                  <c:v>45917</c:v>
                </c:pt>
                <c:pt idx="1143">
                  <c:v>45918</c:v>
                </c:pt>
                <c:pt idx="1144">
                  <c:v>45919</c:v>
                </c:pt>
                <c:pt idx="1145">
                  <c:v>45922</c:v>
                </c:pt>
                <c:pt idx="1146">
                  <c:v>45923</c:v>
                </c:pt>
                <c:pt idx="1147">
                  <c:v>45924</c:v>
                </c:pt>
                <c:pt idx="1148">
                  <c:v>45925</c:v>
                </c:pt>
                <c:pt idx="1149">
                  <c:v>45926</c:v>
                </c:pt>
                <c:pt idx="1150">
                  <c:v>45929</c:v>
                </c:pt>
                <c:pt idx="1151">
                  <c:v>45930</c:v>
                </c:pt>
                <c:pt idx="1152">
                  <c:v>45931</c:v>
                </c:pt>
                <c:pt idx="1153">
                  <c:v>45932</c:v>
                </c:pt>
                <c:pt idx="1154">
                  <c:v>45933</c:v>
                </c:pt>
                <c:pt idx="1155">
                  <c:v>45936</c:v>
                </c:pt>
                <c:pt idx="1156">
                  <c:v>45937</c:v>
                </c:pt>
                <c:pt idx="1157">
                  <c:v>45938</c:v>
                </c:pt>
                <c:pt idx="1158">
                  <c:v>45939</c:v>
                </c:pt>
                <c:pt idx="1159">
                  <c:v>45940</c:v>
                </c:pt>
                <c:pt idx="1160">
                  <c:v>45943</c:v>
                </c:pt>
                <c:pt idx="1161">
                  <c:v>45944</c:v>
                </c:pt>
                <c:pt idx="1162">
                  <c:v>45945</c:v>
                </c:pt>
                <c:pt idx="1163">
                  <c:v>45946</c:v>
                </c:pt>
                <c:pt idx="1164">
                  <c:v>45947</c:v>
                </c:pt>
                <c:pt idx="1165">
                  <c:v>45950</c:v>
                </c:pt>
                <c:pt idx="1166">
                  <c:v>45951</c:v>
                </c:pt>
                <c:pt idx="1167">
                  <c:v>45952</c:v>
                </c:pt>
                <c:pt idx="1168">
                  <c:v>45953</c:v>
                </c:pt>
                <c:pt idx="1169">
                  <c:v>45954</c:v>
                </c:pt>
                <c:pt idx="1170">
                  <c:v>45957</c:v>
                </c:pt>
                <c:pt idx="1171">
                  <c:v>45958</c:v>
                </c:pt>
                <c:pt idx="1172">
                  <c:v>45959</c:v>
                </c:pt>
                <c:pt idx="1173">
                  <c:v>45960</c:v>
                </c:pt>
                <c:pt idx="1174">
                  <c:v>45961</c:v>
                </c:pt>
                <c:pt idx="1175">
                  <c:v>45964</c:v>
                </c:pt>
                <c:pt idx="1176">
                  <c:v>45965</c:v>
                </c:pt>
                <c:pt idx="1177">
                  <c:v>45966</c:v>
                </c:pt>
                <c:pt idx="1178">
                  <c:v>45967</c:v>
                </c:pt>
                <c:pt idx="1179">
                  <c:v>45968</c:v>
                </c:pt>
                <c:pt idx="1180">
                  <c:v>45971</c:v>
                </c:pt>
                <c:pt idx="1181">
                  <c:v>45972</c:v>
                </c:pt>
                <c:pt idx="1182">
                  <c:v>45973</c:v>
                </c:pt>
                <c:pt idx="1183">
                  <c:v>45974</c:v>
                </c:pt>
                <c:pt idx="1184">
                  <c:v>45975</c:v>
                </c:pt>
                <c:pt idx="1185">
                  <c:v>45978</c:v>
                </c:pt>
                <c:pt idx="1186">
                  <c:v>45979</c:v>
                </c:pt>
                <c:pt idx="1187">
                  <c:v>45980</c:v>
                </c:pt>
                <c:pt idx="1188">
                  <c:v>45981</c:v>
                </c:pt>
                <c:pt idx="1189">
                  <c:v>45982</c:v>
                </c:pt>
                <c:pt idx="1190">
                  <c:v>45985</c:v>
                </c:pt>
                <c:pt idx="1191">
                  <c:v>45986</c:v>
                </c:pt>
                <c:pt idx="1192">
                  <c:v>45987</c:v>
                </c:pt>
                <c:pt idx="1193">
                  <c:v>45989</c:v>
                </c:pt>
                <c:pt idx="1194">
                  <c:v>45992</c:v>
                </c:pt>
                <c:pt idx="1195">
                  <c:v>45993</c:v>
                </c:pt>
                <c:pt idx="1196">
                  <c:v>45994</c:v>
                </c:pt>
                <c:pt idx="1197">
                  <c:v>45995</c:v>
                </c:pt>
                <c:pt idx="1198">
                  <c:v>45996</c:v>
                </c:pt>
                <c:pt idx="1199">
                  <c:v>45999</c:v>
                </c:pt>
                <c:pt idx="1200">
                  <c:v>46000</c:v>
                </c:pt>
                <c:pt idx="1201">
                  <c:v>46001</c:v>
                </c:pt>
                <c:pt idx="1202">
                  <c:v>46002</c:v>
                </c:pt>
                <c:pt idx="1203">
                  <c:v>46003</c:v>
                </c:pt>
                <c:pt idx="1204">
                  <c:v>46006</c:v>
                </c:pt>
                <c:pt idx="1205">
                  <c:v>46007</c:v>
                </c:pt>
                <c:pt idx="1206">
                  <c:v>46008</c:v>
                </c:pt>
                <c:pt idx="1207">
                  <c:v>46009</c:v>
                </c:pt>
                <c:pt idx="1208">
                  <c:v>46010</c:v>
                </c:pt>
                <c:pt idx="1209">
                  <c:v>46013</c:v>
                </c:pt>
                <c:pt idx="1210">
                  <c:v>46014</c:v>
                </c:pt>
                <c:pt idx="1211">
                  <c:v>46015</c:v>
                </c:pt>
                <c:pt idx="1212">
                  <c:v>46017</c:v>
                </c:pt>
                <c:pt idx="1213">
                  <c:v>46020</c:v>
                </c:pt>
                <c:pt idx="1214">
                  <c:v>46021</c:v>
                </c:pt>
                <c:pt idx="1215">
                  <c:v>46022</c:v>
                </c:pt>
                <c:pt idx="1216">
                  <c:v>46024</c:v>
                </c:pt>
                <c:pt idx="1217">
                  <c:v>46027</c:v>
                </c:pt>
                <c:pt idx="1218">
                  <c:v>46028</c:v>
                </c:pt>
                <c:pt idx="1219">
                  <c:v>46029</c:v>
                </c:pt>
                <c:pt idx="1220">
                  <c:v>46030</c:v>
                </c:pt>
                <c:pt idx="1221">
                  <c:v>46031</c:v>
                </c:pt>
                <c:pt idx="1222">
                  <c:v>46034</c:v>
                </c:pt>
                <c:pt idx="1223">
                  <c:v>46035</c:v>
                </c:pt>
                <c:pt idx="1224">
                  <c:v>46036</c:v>
                </c:pt>
                <c:pt idx="1225">
                  <c:v>46037</c:v>
                </c:pt>
                <c:pt idx="1226">
                  <c:v>46038</c:v>
                </c:pt>
                <c:pt idx="1227">
                  <c:v>46042</c:v>
                </c:pt>
                <c:pt idx="1228">
                  <c:v>46043</c:v>
                </c:pt>
                <c:pt idx="1229">
                  <c:v>46044</c:v>
                </c:pt>
                <c:pt idx="1230">
                  <c:v>46045</c:v>
                </c:pt>
                <c:pt idx="1231">
                  <c:v>46048</c:v>
                </c:pt>
                <c:pt idx="1232">
                  <c:v>46049</c:v>
                </c:pt>
                <c:pt idx="1233">
                  <c:v>46050</c:v>
                </c:pt>
                <c:pt idx="1234">
                  <c:v>46051</c:v>
                </c:pt>
                <c:pt idx="1235">
                  <c:v>46052</c:v>
                </c:pt>
                <c:pt idx="1236">
                  <c:v>46055</c:v>
                </c:pt>
                <c:pt idx="1237">
                  <c:v>46056</c:v>
                </c:pt>
                <c:pt idx="1238">
                  <c:v>46057</c:v>
                </c:pt>
                <c:pt idx="1239">
                  <c:v>46058</c:v>
                </c:pt>
                <c:pt idx="1240">
                  <c:v>46059</c:v>
                </c:pt>
                <c:pt idx="1241">
                  <c:v>46062</c:v>
                </c:pt>
                <c:pt idx="1242">
                  <c:v>46063</c:v>
                </c:pt>
                <c:pt idx="1243">
                  <c:v>46064</c:v>
                </c:pt>
                <c:pt idx="1244">
                  <c:v>46065</c:v>
                </c:pt>
                <c:pt idx="1245">
                  <c:v>46066</c:v>
                </c:pt>
                <c:pt idx="1246">
                  <c:v>46070</c:v>
                </c:pt>
                <c:pt idx="1247">
                  <c:v>46071</c:v>
                </c:pt>
                <c:pt idx="1248">
                  <c:v>46072</c:v>
                </c:pt>
                <c:pt idx="1249">
                  <c:v>46073</c:v>
                </c:pt>
                <c:pt idx="1250">
                  <c:v>46076</c:v>
                </c:pt>
                <c:pt idx="1251">
                  <c:v>46077</c:v>
                </c:pt>
                <c:pt idx="1252">
                  <c:v>46078</c:v>
                </c:pt>
                <c:pt idx="1253">
                  <c:v>46079</c:v>
                </c:pt>
                <c:pt idx="1254">
                  <c:v>46080</c:v>
                </c:pt>
              </c:numCache>
            </c:numRef>
          </c:cat>
          <c:val>
            <c:numRef>
              <c:f>Portfolio_Calc!$E$2:$E$1256</c:f>
              <c:numCache>
                <c:formatCode>General</c:formatCode>
                <c:ptCount val="1255"/>
                <c:pt idx="0">
                  <c:v>0</c:v>
                </c:pt>
                <c:pt idx="1">
                  <c:v>-8.2330290706164044E-3</c:v>
                </c:pt>
                <c:pt idx="2">
                  <c:v>-1.8031591424615745E-2</c:v>
                </c:pt>
                <c:pt idx="3">
                  <c:v>-9.3239505131387235E-3</c:v>
                </c:pt>
                <c:pt idx="4">
                  <c:v>-1.7813875721613637E-2</c:v>
                </c:pt>
                <c:pt idx="5">
                  <c:v>-4.2614963286837781E-3</c:v>
                </c:pt>
                <c:pt idx="6">
                  <c:v>0</c:v>
                </c:pt>
                <c:pt idx="7">
                  <c:v>0</c:v>
                </c:pt>
                <c:pt idx="8">
                  <c:v>-3.91180623409082E-3</c:v>
                </c:pt>
                <c:pt idx="9">
                  <c:v>0</c:v>
                </c:pt>
                <c:pt idx="10">
                  <c:v>-1.7450739008058047E-3</c:v>
                </c:pt>
                <c:pt idx="11">
                  <c:v>0</c:v>
                </c:pt>
                <c:pt idx="12">
                  <c:v>-1.6350238013882024E-2</c:v>
                </c:pt>
                <c:pt idx="13">
                  <c:v>-1.2443789034603636E-2</c:v>
                </c:pt>
                <c:pt idx="14">
                  <c:v>-8.934804062810886E-3</c:v>
                </c:pt>
                <c:pt idx="15">
                  <c:v>-1.7211768413774697E-2</c:v>
                </c:pt>
                <c:pt idx="16">
                  <c:v>-2.0365957772492171E-2</c:v>
                </c:pt>
                <c:pt idx="17">
                  <c:v>-1.9144499764016443E-2</c:v>
                </c:pt>
                <c:pt idx="18">
                  <c:v>-8.3552138780594865E-3</c:v>
                </c:pt>
                <c:pt idx="19">
                  <c:v>-1.4144666493130953E-2</c:v>
                </c:pt>
                <c:pt idx="20">
                  <c:v>-1.5441304312201476E-2</c:v>
                </c:pt>
                <c:pt idx="21">
                  <c:v>-1.1455709945470183E-2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-2.849636601929717E-3</c:v>
                </c:pt>
                <c:pt idx="26">
                  <c:v>0</c:v>
                </c:pt>
                <c:pt idx="27">
                  <c:v>-1.1036539783952914E-3</c:v>
                </c:pt>
                <c:pt idx="28">
                  <c:v>-2.6229757922782149E-3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-3.3558112013100105E-3</c:v>
                </c:pt>
                <c:pt idx="34">
                  <c:v>-6.9547479133353907E-3</c:v>
                </c:pt>
                <c:pt idx="35">
                  <c:v>-2.770200906310194E-4</c:v>
                </c:pt>
                <c:pt idx="36">
                  <c:v>-2.9167214908666361E-3</c:v>
                </c:pt>
                <c:pt idx="37">
                  <c:v>0</c:v>
                </c:pt>
                <c:pt idx="38">
                  <c:v>0</c:v>
                </c:pt>
                <c:pt idx="39">
                  <c:v>-1.6315582675080487E-3</c:v>
                </c:pt>
                <c:pt idx="40">
                  <c:v>-4.1528524098988218E-4</c:v>
                </c:pt>
                <c:pt idx="41">
                  <c:v>0</c:v>
                </c:pt>
                <c:pt idx="42">
                  <c:v>-4.9846266625543922E-3</c:v>
                </c:pt>
                <c:pt idx="43">
                  <c:v>-1.6630577811466152E-3</c:v>
                </c:pt>
                <c:pt idx="44">
                  <c:v>-6.0251978956381569E-3</c:v>
                </c:pt>
                <c:pt idx="45">
                  <c:v>-5.3064601153332003E-3</c:v>
                </c:pt>
                <c:pt idx="46">
                  <c:v>0</c:v>
                </c:pt>
                <c:pt idx="47">
                  <c:v>0</c:v>
                </c:pt>
                <c:pt idx="48">
                  <c:v>-8.9896626483570996E-3</c:v>
                </c:pt>
                <c:pt idx="49">
                  <c:v>-1.2549515985425863E-2</c:v>
                </c:pt>
                <c:pt idx="50">
                  <c:v>-2.7781288329773779E-2</c:v>
                </c:pt>
                <c:pt idx="51">
                  <c:v>-2.4059977410694544E-2</c:v>
                </c:pt>
                <c:pt idx="52">
                  <c:v>-1.2177879702378269E-2</c:v>
                </c:pt>
                <c:pt idx="53">
                  <c:v>-1.1435252356777226E-2</c:v>
                </c:pt>
                <c:pt idx="54">
                  <c:v>-1.2945105954947689E-2</c:v>
                </c:pt>
                <c:pt idx="55">
                  <c:v>-1.7366218875672357E-2</c:v>
                </c:pt>
                <c:pt idx="56">
                  <c:v>-1.0441298660786247E-2</c:v>
                </c:pt>
                <c:pt idx="57">
                  <c:v>-1.0382451893668598E-2</c:v>
                </c:pt>
                <c:pt idx="58">
                  <c:v>-3.4159399951425584E-3</c:v>
                </c:pt>
                <c:pt idx="59">
                  <c:v>-1.5951362970979543E-3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-6.8394546448480309E-3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-1.9500105295922054E-4</c:v>
                </c:pt>
                <c:pt idx="70">
                  <c:v>0</c:v>
                </c:pt>
                <c:pt idx="71">
                  <c:v>-5.426814649129863E-4</c:v>
                </c:pt>
                <c:pt idx="72">
                  <c:v>-1.3511760825419827E-3</c:v>
                </c:pt>
                <c:pt idx="73">
                  <c:v>-4.3398489618210467E-3</c:v>
                </c:pt>
                <c:pt idx="74">
                  <c:v>-1.0334858020325743E-2</c:v>
                </c:pt>
                <c:pt idx="75">
                  <c:v>-1.3085679400244188E-2</c:v>
                </c:pt>
                <c:pt idx="76">
                  <c:v>-1.7583670243759508E-2</c:v>
                </c:pt>
                <c:pt idx="77">
                  <c:v>-1.0977250389115012E-2</c:v>
                </c:pt>
                <c:pt idx="78">
                  <c:v>-9.8610725594814319E-3</c:v>
                </c:pt>
                <c:pt idx="79">
                  <c:v>-9.9403979272723042E-3</c:v>
                </c:pt>
                <c:pt idx="80">
                  <c:v>-5.6178174167741401E-3</c:v>
                </c:pt>
                <c:pt idx="81">
                  <c:v>-5.0956276549676272E-3</c:v>
                </c:pt>
                <c:pt idx="82">
                  <c:v>-3.864417626691985E-3</c:v>
                </c:pt>
                <c:pt idx="83">
                  <c:v>-4.274489257727665E-3</c:v>
                </c:pt>
                <c:pt idx="84">
                  <c:v>-4.1502896790011068E-3</c:v>
                </c:pt>
                <c:pt idx="85">
                  <c:v>-2.2124757698483988E-3</c:v>
                </c:pt>
                <c:pt idx="86">
                  <c:v>0</c:v>
                </c:pt>
                <c:pt idx="87">
                  <c:v>-2.5784972122279148E-3</c:v>
                </c:pt>
                <c:pt idx="88">
                  <c:v>-1.6319537085626168E-3</c:v>
                </c:pt>
                <c:pt idx="89">
                  <c:v>-5.5556149054106774E-3</c:v>
                </c:pt>
                <c:pt idx="90">
                  <c:v>0</c:v>
                </c:pt>
                <c:pt idx="91">
                  <c:v>0</c:v>
                </c:pt>
                <c:pt idx="92">
                  <c:v>-4.025183292032497E-3</c:v>
                </c:pt>
                <c:pt idx="93">
                  <c:v>-2.0167353971023427E-3</c:v>
                </c:pt>
                <c:pt idx="94">
                  <c:v>-2.8457871021450032E-3</c:v>
                </c:pt>
                <c:pt idx="95">
                  <c:v>-7.7137329492587003E-3</c:v>
                </c:pt>
                <c:pt idx="96">
                  <c:v>-1.5895148214606913E-2</c:v>
                </c:pt>
                <c:pt idx="97">
                  <c:v>-7.9142053814272861E-3</c:v>
                </c:pt>
                <c:pt idx="98">
                  <c:v>-3.674255241829405E-3</c:v>
                </c:pt>
                <c:pt idx="99">
                  <c:v>-2.5541475765498145E-3</c:v>
                </c:pt>
                <c:pt idx="100">
                  <c:v>-6.8576044070345343E-4</c:v>
                </c:pt>
                <c:pt idx="101">
                  <c:v>-1.8034261099096893E-3</c:v>
                </c:pt>
                <c:pt idx="102">
                  <c:v>-4.4643929429337703E-3</c:v>
                </c:pt>
                <c:pt idx="103">
                  <c:v>0</c:v>
                </c:pt>
                <c:pt idx="104">
                  <c:v>0</c:v>
                </c:pt>
                <c:pt idx="105">
                  <c:v>-3.0516669074439617E-3</c:v>
                </c:pt>
                <c:pt idx="106">
                  <c:v>-2.6559534953040087E-3</c:v>
                </c:pt>
                <c:pt idx="107">
                  <c:v>-2.8625535102566602E-4</c:v>
                </c:pt>
                <c:pt idx="108">
                  <c:v>-2.9987222462070084E-3</c:v>
                </c:pt>
                <c:pt idx="109">
                  <c:v>0</c:v>
                </c:pt>
                <c:pt idx="110">
                  <c:v>-6.3098783605745057E-3</c:v>
                </c:pt>
                <c:pt idx="111">
                  <c:v>-1.0556869672248892E-2</c:v>
                </c:pt>
                <c:pt idx="112">
                  <c:v>-1.0589371621884114E-2</c:v>
                </c:pt>
                <c:pt idx="113">
                  <c:v>-6.6774286285025131E-3</c:v>
                </c:pt>
                <c:pt idx="114">
                  <c:v>-7.1883651852194808E-3</c:v>
                </c:pt>
                <c:pt idx="115">
                  <c:v>-3.5264069840675871E-3</c:v>
                </c:pt>
                <c:pt idx="116">
                  <c:v>-4.6928066072051688E-3</c:v>
                </c:pt>
                <c:pt idx="117">
                  <c:v>-1.0815095907287131E-2</c:v>
                </c:pt>
                <c:pt idx="118">
                  <c:v>-1.5077709033153974E-2</c:v>
                </c:pt>
                <c:pt idx="119">
                  <c:v>-1.777559645779403E-2</c:v>
                </c:pt>
                <c:pt idx="120">
                  <c:v>-1.5876437668263077E-2</c:v>
                </c:pt>
                <c:pt idx="121">
                  <c:v>-6.2582613449794211E-3</c:v>
                </c:pt>
                <c:pt idx="122">
                  <c:v>-2.6148130791463498E-3</c:v>
                </c:pt>
                <c:pt idx="123">
                  <c:v>-2.9567583883211013E-3</c:v>
                </c:pt>
                <c:pt idx="124">
                  <c:v>-6.4496789015905387E-3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-5.3696883128928619E-3</c:v>
                </c:pt>
                <c:pt idx="132">
                  <c:v>-6.562742505649255E-3</c:v>
                </c:pt>
                <c:pt idx="133">
                  <c:v>-7.6089090839988049E-3</c:v>
                </c:pt>
                <c:pt idx="134">
                  <c:v>-1.1872016976234301E-2</c:v>
                </c:pt>
                <c:pt idx="135">
                  <c:v>-7.9047806832630574E-3</c:v>
                </c:pt>
                <c:pt idx="136">
                  <c:v>-8.8052459795048277E-3</c:v>
                </c:pt>
                <c:pt idx="137">
                  <c:v>-5.7985130804550922E-3</c:v>
                </c:pt>
                <c:pt idx="138">
                  <c:v>-1.0058647907240093E-2</c:v>
                </c:pt>
                <c:pt idx="139">
                  <c:v>-1.5626293217604115E-2</c:v>
                </c:pt>
                <c:pt idx="140">
                  <c:v>-2.3844915797600619E-2</c:v>
                </c:pt>
                <c:pt idx="141">
                  <c:v>-2.1613132150615222E-2</c:v>
                </c:pt>
                <c:pt idx="142">
                  <c:v>-1.5002720062121777E-2</c:v>
                </c:pt>
                <c:pt idx="143">
                  <c:v>-1.3236094977760238E-2</c:v>
                </c:pt>
                <c:pt idx="144">
                  <c:v>-1.7128285073981453E-2</c:v>
                </c:pt>
                <c:pt idx="145">
                  <c:v>-1.6748738584449252E-2</c:v>
                </c:pt>
                <c:pt idx="146">
                  <c:v>-3.0263893585711021E-2</c:v>
                </c:pt>
                <c:pt idx="147">
                  <c:v>-3.069345906068488E-2</c:v>
                </c:pt>
                <c:pt idx="148">
                  <c:v>-3.1983898212079476E-2</c:v>
                </c:pt>
                <c:pt idx="149">
                  <c:v>-2.491665960645284E-2</c:v>
                </c:pt>
                <c:pt idx="150">
                  <c:v>-2.9475327848387689E-2</c:v>
                </c:pt>
                <c:pt idx="151">
                  <c:v>-2.7462487343848929E-2</c:v>
                </c:pt>
                <c:pt idx="152">
                  <c:v>-2.7924027100330595E-2</c:v>
                </c:pt>
                <c:pt idx="153">
                  <c:v>-2.3731825438885523E-2</c:v>
                </c:pt>
                <c:pt idx="154">
                  <c:v>-2.6429537176941187E-2</c:v>
                </c:pt>
                <c:pt idx="155">
                  <c:v>-2.8742274612008734E-2</c:v>
                </c:pt>
                <c:pt idx="156">
                  <c:v>-2.5307736935253233E-2</c:v>
                </c:pt>
                <c:pt idx="157">
                  <c:v>-1.7979499011886113E-2</c:v>
                </c:pt>
                <c:pt idx="158">
                  <c:v>-9.4263981728369695E-3</c:v>
                </c:pt>
                <c:pt idx="159">
                  <c:v>-8.8634107567545639E-3</c:v>
                </c:pt>
                <c:pt idx="160">
                  <c:v>-8.7185402756256858E-3</c:v>
                </c:pt>
                <c:pt idx="161">
                  <c:v>-6.8854460398234396E-3</c:v>
                </c:pt>
                <c:pt idx="162">
                  <c:v>-3.6639784849519241E-3</c:v>
                </c:pt>
                <c:pt idx="163">
                  <c:v>-5.575813833187393E-3</c:v>
                </c:pt>
                <c:pt idx="164">
                  <c:v>-3.6930536301245098E-3</c:v>
                </c:pt>
                <c:pt idx="165">
                  <c:v>0</c:v>
                </c:pt>
                <c:pt idx="166">
                  <c:v>0</c:v>
                </c:pt>
                <c:pt idx="167">
                  <c:v>-2.3087701954449535E-3</c:v>
                </c:pt>
                <c:pt idx="168">
                  <c:v>0</c:v>
                </c:pt>
                <c:pt idx="169">
                  <c:v>-3.1819519566689269E-3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-8.6452765727510483E-3</c:v>
                </c:pt>
                <c:pt idx="178">
                  <c:v>-5.5854512959023772E-3</c:v>
                </c:pt>
                <c:pt idx="179">
                  <c:v>-3.5991594391444615E-3</c:v>
                </c:pt>
                <c:pt idx="180">
                  <c:v>-5.9449987723686482E-3</c:v>
                </c:pt>
                <c:pt idx="181">
                  <c:v>-6.5925196817036014E-3</c:v>
                </c:pt>
                <c:pt idx="182">
                  <c:v>-6.8911904496790077E-3</c:v>
                </c:pt>
                <c:pt idx="183">
                  <c:v>-6.5250635644625854E-3</c:v>
                </c:pt>
                <c:pt idx="184">
                  <c:v>-8.9076920576042218E-3</c:v>
                </c:pt>
                <c:pt idx="185">
                  <c:v>-1.5871158226704485E-2</c:v>
                </c:pt>
                <c:pt idx="186">
                  <c:v>-1.722617306718599E-2</c:v>
                </c:pt>
                <c:pt idx="187">
                  <c:v>-1.4762999904870067E-2</c:v>
                </c:pt>
                <c:pt idx="188">
                  <c:v>-3.0307037863128716E-2</c:v>
                </c:pt>
                <c:pt idx="189">
                  <c:v>-2.6677496842012038E-2</c:v>
                </c:pt>
                <c:pt idx="190">
                  <c:v>-3.4646149468999687E-2</c:v>
                </c:pt>
                <c:pt idx="191">
                  <c:v>-3.9919939104564039E-2</c:v>
                </c:pt>
                <c:pt idx="192">
                  <c:v>-3.0545264642671821E-2</c:v>
                </c:pt>
                <c:pt idx="193">
                  <c:v>-3.3179403971807853E-2</c:v>
                </c:pt>
                <c:pt idx="194">
                  <c:v>-2.7503251812171614E-2</c:v>
                </c:pt>
                <c:pt idx="195">
                  <c:v>-1.6329701149784603E-2</c:v>
                </c:pt>
                <c:pt idx="196">
                  <c:v>-1.5215911878096233E-2</c:v>
                </c:pt>
                <c:pt idx="197">
                  <c:v>-2.2613850938739244E-2</c:v>
                </c:pt>
                <c:pt idx="198">
                  <c:v>-1.9279302983427948E-2</c:v>
                </c:pt>
                <c:pt idx="199">
                  <c:v>-2.1901667281929882E-2</c:v>
                </c:pt>
                <c:pt idx="200">
                  <c:v>-2.7998264007442542E-2</c:v>
                </c:pt>
                <c:pt idx="201">
                  <c:v>-2.1330517969254448E-2</c:v>
                </c:pt>
                <c:pt idx="202">
                  <c:v>-2.4034909435647456E-2</c:v>
                </c:pt>
                <c:pt idx="203">
                  <c:v>-2.6008313591360688E-2</c:v>
                </c:pt>
                <c:pt idx="204">
                  <c:v>-3.2907194592280309E-2</c:v>
                </c:pt>
                <c:pt idx="205">
                  <c:v>-2.2577054900952409E-2</c:v>
                </c:pt>
                <c:pt idx="206">
                  <c:v>-1.5476896198907464E-2</c:v>
                </c:pt>
                <c:pt idx="207">
                  <c:v>-1.3018249737517862E-2</c:v>
                </c:pt>
                <c:pt idx="208">
                  <c:v>-5.5333997557678316E-3</c:v>
                </c:pt>
                <c:pt idx="209">
                  <c:v>-7.4282312748391588E-3</c:v>
                </c:pt>
                <c:pt idx="210">
                  <c:v>-8.6355626603318303E-3</c:v>
                </c:pt>
                <c:pt idx="211">
                  <c:v>-6.5858381697398993E-3</c:v>
                </c:pt>
                <c:pt idx="212">
                  <c:v>-7.6447781906314738E-3</c:v>
                </c:pt>
                <c:pt idx="213">
                  <c:v>-9.6350815207020268E-3</c:v>
                </c:pt>
                <c:pt idx="214">
                  <c:v>-9.7034170701317812E-3</c:v>
                </c:pt>
                <c:pt idx="215">
                  <c:v>-2.3569478299550584E-2</c:v>
                </c:pt>
                <c:pt idx="216">
                  <c:v>-2.3593568674327714E-2</c:v>
                </c:pt>
                <c:pt idx="217">
                  <c:v>-2.6184775666508786E-2</c:v>
                </c:pt>
                <c:pt idx="218">
                  <c:v>-2.7661848693933067E-2</c:v>
                </c:pt>
                <c:pt idx="219">
                  <c:v>-1.8061539752199707E-2</c:v>
                </c:pt>
                <c:pt idx="220">
                  <c:v>-1.5233865860184159E-2</c:v>
                </c:pt>
                <c:pt idx="221">
                  <c:v>-2.1284628530292338E-2</c:v>
                </c:pt>
                <c:pt idx="222">
                  <c:v>-2.3244470679970264E-2</c:v>
                </c:pt>
                <c:pt idx="223">
                  <c:v>-3.5100763098583565E-2</c:v>
                </c:pt>
                <c:pt idx="224">
                  <c:v>-3.6421501653704502E-2</c:v>
                </c:pt>
                <c:pt idx="225">
                  <c:v>-4.0775495214000701E-2</c:v>
                </c:pt>
                <c:pt idx="226">
                  <c:v>-4.6737167960299364E-2</c:v>
                </c:pt>
                <c:pt idx="227">
                  <c:v>-4.6761045263168155E-2</c:v>
                </c:pt>
                <c:pt idx="228">
                  <c:v>-5.1292172750299625E-2</c:v>
                </c:pt>
                <c:pt idx="229">
                  <c:v>-5.871896501156304E-2</c:v>
                </c:pt>
                <c:pt idx="230">
                  <c:v>-6.326471398091793E-2</c:v>
                </c:pt>
                <c:pt idx="231">
                  <c:v>-5.3834613879495841E-2</c:v>
                </c:pt>
                <c:pt idx="232">
                  <c:v>-4.2373135007254481E-2</c:v>
                </c:pt>
                <c:pt idx="233">
                  <c:v>-3.9024193359520232E-2</c:v>
                </c:pt>
                <c:pt idx="234">
                  <c:v>-3.572883467380672E-2</c:v>
                </c:pt>
                <c:pt idx="235">
                  <c:v>-4.7647723944536091E-2</c:v>
                </c:pt>
                <c:pt idx="236">
                  <c:v>-4.8459631468311448E-2</c:v>
                </c:pt>
                <c:pt idx="237">
                  <c:v>-4.8178958959492868E-2</c:v>
                </c:pt>
                <c:pt idx="238">
                  <c:v>-4.6099256014398904E-2</c:v>
                </c:pt>
                <c:pt idx="239">
                  <c:v>-3.539091194112165E-2</c:v>
                </c:pt>
                <c:pt idx="240">
                  <c:v>-4.823844049296222E-2</c:v>
                </c:pt>
                <c:pt idx="241">
                  <c:v>-5.124003708622149E-2</c:v>
                </c:pt>
                <c:pt idx="242">
                  <c:v>-5.4993898148923415E-2</c:v>
                </c:pt>
                <c:pt idx="243">
                  <c:v>-4.9217815577223822E-2</c:v>
                </c:pt>
                <c:pt idx="244">
                  <c:v>-4.5627411540333895E-2</c:v>
                </c:pt>
                <c:pt idx="245">
                  <c:v>-5.2295232417570836E-2</c:v>
                </c:pt>
                <c:pt idx="246">
                  <c:v>-5.4339740908448175E-2</c:v>
                </c:pt>
                <c:pt idx="247">
                  <c:v>-5.8207879600124746E-2</c:v>
                </c:pt>
                <c:pt idx="248">
                  <c:v>-6.7191343775628076E-2</c:v>
                </c:pt>
                <c:pt idx="249">
                  <c:v>-6.1728050307736315E-2</c:v>
                </c:pt>
                <c:pt idx="250">
                  <c:v>-5.238994778491679E-2</c:v>
                </c:pt>
                <c:pt idx="251">
                  <c:v>-5.00556651485633E-2</c:v>
                </c:pt>
                <c:pt idx="252">
                  <c:v>-5.0804183914441636E-2</c:v>
                </c:pt>
                <c:pt idx="253">
                  <c:v>-4.6673755354946334E-2</c:v>
                </c:pt>
                <c:pt idx="254">
                  <c:v>-4.8635950800326677E-2</c:v>
                </c:pt>
                <c:pt idx="255">
                  <c:v>-4.8892339257219919E-2</c:v>
                </c:pt>
                <c:pt idx="256">
                  <c:v>-6.2855322547264891E-2</c:v>
                </c:pt>
                <c:pt idx="257">
                  <c:v>-6.139469785571694E-2</c:v>
                </c:pt>
                <c:pt idx="258">
                  <c:v>-5.6586912554899116E-2</c:v>
                </c:pt>
                <c:pt idx="259">
                  <c:v>-6.3919586400541073E-2</c:v>
                </c:pt>
                <c:pt idx="260">
                  <c:v>-7.042998821284463E-2</c:v>
                </c:pt>
                <c:pt idx="261">
                  <c:v>-8.4099981928232093E-2</c:v>
                </c:pt>
                <c:pt idx="262">
                  <c:v>-7.9763284963936476E-2</c:v>
                </c:pt>
                <c:pt idx="263">
                  <c:v>-6.0764767290076294E-2</c:v>
                </c:pt>
                <c:pt idx="264">
                  <c:v>-5.1432451170312588E-2</c:v>
                </c:pt>
                <c:pt idx="265">
                  <c:v>-4.4926958684963214E-2</c:v>
                </c:pt>
                <c:pt idx="266">
                  <c:v>-4.9399832264984012E-2</c:v>
                </c:pt>
                <c:pt idx="267">
                  <c:v>-4.5722548925336226E-2</c:v>
                </c:pt>
                <c:pt idx="268">
                  <c:v>-4.640509537569526E-2</c:v>
                </c:pt>
                <c:pt idx="269">
                  <c:v>-4.1939524594483468E-2</c:v>
                </c:pt>
                <c:pt idx="270">
                  <c:v>-4.3968002491934222E-2</c:v>
                </c:pt>
                <c:pt idx="271">
                  <c:v>-4.4397852601324117E-2</c:v>
                </c:pt>
                <c:pt idx="272">
                  <c:v>-3.1457645035249837E-2</c:v>
                </c:pt>
                <c:pt idx="273">
                  <c:v>-3.2619738328636849E-2</c:v>
                </c:pt>
                <c:pt idx="274">
                  <c:v>-4.0833913038731628E-2</c:v>
                </c:pt>
                <c:pt idx="275">
                  <c:v>-3.6171816881450325E-2</c:v>
                </c:pt>
                <c:pt idx="276">
                  <c:v>-3.0153685369878724E-2</c:v>
                </c:pt>
                <c:pt idx="277">
                  <c:v>-4.4285595963993951E-2</c:v>
                </c:pt>
                <c:pt idx="278">
                  <c:v>-5.1450601038988908E-2</c:v>
                </c:pt>
                <c:pt idx="279">
                  <c:v>-5.3076356505062705E-2</c:v>
                </c:pt>
                <c:pt idx="280">
                  <c:v>-5.5660252057472048E-2</c:v>
                </c:pt>
                <c:pt idx="281">
                  <c:v>-6.523978795090779E-2</c:v>
                </c:pt>
                <c:pt idx="282">
                  <c:v>-6.2717078232262247E-2</c:v>
                </c:pt>
                <c:pt idx="283">
                  <c:v>-5.3037204014406814E-2</c:v>
                </c:pt>
                <c:pt idx="284">
                  <c:v>-6.1717047363996747E-2</c:v>
                </c:pt>
                <c:pt idx="285">
                  <c:v>-6.3394825580690428E-2</c:v>
                </c:pt>
                <c:pt idx="286">
                  <c:v>-6.2124496036983112E-2</c:v>
                </c:pt>
                <c:pt idx="287">
                  <c:v>-5.795954777109813E-2</c:v>
                </c:pt>
                <c:pt idx="288">
                  <c:v>-6.819661418390488E-2</c:v>
                </c:pt>
                <c:pt idx="289">
                  <c:v>-8.0939998260027401E-2</c:v>
                </c:pt>
                <c:pt idx="290">
                  <c:v>-7.935662746851091E-2</c:v>
                </c:pt>
                <c:pt idx="291">
                  <c:v>-9.0012386452359316E-2</c:v>
                </c:pt>
                <c:pt idx="292">
                  <c:v>-9.2016465998998598E-2</c:v>
                </c:pt>
                <c:pt idx="293">
                  <c:v>-8.0757888287998014E-2</c:v>
                </c:pt>
                <c:pt idx="294">
                  <c:v>-9.7167090125677147E-2</c:v>
                </c:pt>
                <c:pt idx="295">
                  <c:v>-9.9331598122035958E-2</c:v>
                </c:pt>
                <c:pt idx="296">
                  <c:v>-9.5600401009395153E-2</c:v>
                </c:pt>
                <c:pt idx="297">
                  <c:v>-8.0245351876878868E-2</c:v>
                </c:pt>
                <c:pt idx="298">
                  <c:v>-0.10337977891855543</c:v>
                </c:pt>
                <c:pt idx="299">
                  <c:v>-0.11098416852149373</c:v>
                </c:pt>
                <c:pt idx="300">
                  <c:v>-0.13074993868376672</c:v>
                </c:pt>
                <c:pt idx="301">
                  <c:v>-0.1295319209982535</c:v>
                </c:pt>
                <c:pt idx="302">
                  <c:v>-0.13160726599382688</c:v>
                </c:pt>
                <c:pt idx="303">
                  <c:v>-0.13175198303497715</c:v>
                </c:pt>
                <c:pt idx="304">
                  <c:v>-0.12046216854010172</c:v>
                </c:pt>
                <c:pt idx="305">
                  <c:v>-0.12051822853671124</c:v>
                </c:pt>
                <c:pt idx="306">
                  <c:v>-0.11389160417051136</c:v>
                </c:pt>
                <c:pt idx="307">
                  <c:v>-0.12854872158819364</c:v>
                </c:pt>
                <c:pt idx="308">
                  <c:v>-0.12462914637664402</c:v>
                </c:pt>
                <c:pt idx="309">
                  <c:v>-0.12211110322850016</c:v>
                </c:pt>
                <c:pt idx="310">
                  <c:v>-0.11673083879259916</c:v>
                </c:pt>
                <c:pt idx="311">
                  <c:v>-0.1167271909373977</c:v>
                </c:pt>
                <c:pt idx="312">
                  <c:v>-0.11032242873410847</c:v>
                </c:pt>
                <c:pt idx="313">
                  <c:v>-0.1017097707894915</c:v>
                </c:pt>
                <c:pt idx="314">
                  <c:v>-8.9359496789691351E-2</c:v>
                </c:pt>
                <c:pt idx="315">
                  <c:v>-9.6132015049728903E-2</c:v>
                </c:pt>
                <c:pt idx="316">
                  <c:v>-0.10005708038883088</c:v>
                </c:pt>
                <c:pt idx="317">
                  <c:v>-8.7732582577008444E-2</c:v>
                </c:pt>
                <c:pt idx="318">
                  <c:v>-9.6150661003191917E-2</c:v>
                </c:pt>
                <c:pt idx="319">
                  <c:v>-9.7926669647385944E-2</c:v>
                </c:pt>
                <c:pt idx="320">
                  <c:v>-9.1173437418018199E-2</c:v>
                </c:pt>
                <c:pt idx="321">
                  <c:v>-9.7538523323469239E-2</c:v>
                </c:pt>
                <c:pt idx="322">
                  <c:v>-0.10907093727196171</c:v>
                </c:pt>
                <c:pt idx="323">
                  <c:v>-0.1230221653197533</c:v>
                </c:pt>
                <c:pt idx="324">
                  <c:v>-0.15173290651525373</c:v>
                </c:pt>
                <c:pt idx="325">
                  <c:v>-0.15508825073289056</c:v>
                </c:pt>
                <c:pt idx="326">
                  <c:v>-0.14164818101242527</c:v>
                </c:pt>
                <c:pt idx="327">
                  <c:v>-0.15476560146262663</c:v>
                </c:pt>
                <c:pt idx="328">
                  <c:v>-0.15517381769704042</c:v>
                </c:pt>
                <c:pt idx="329">
                  <c:v>-0.14993275058336986</c:v>
                </c:pt>
                <c:pt idx="330">
                  <c:v>-0.14878191258476992</c:v>
                </c:pt>
                <c:pt idx="331">
                  <c:v>-0.14468726735365722</c:v>
                </c:pt>
                <c:pt idx="332">
                  <c:v>-0.13248209212285778</c:v>
                </c:pt>
                <c:pt idx="333">
                  <c:v>-0.13571347168764158</c:v>
                </c:pt>
                <c:pt idx="334">
                  <c:v>-0.14217915660937286</c:v>
                </c:pt>
                <c:pt idx="335">
                  <c:v>-0.14316701566861745</c:v>
                </c:pt>
                <c:pt idx="336">
                  <c:v>-0.14733523949781835</c:v>
                </c:pt>
                <c:pt idx="337">
                  <c:v>-0.14089325884261594</c:v>
                </c:pt>
                <c:pt idx="338">
                  <c:v>-0.14682180865997885</c:v>
                </c:pt>
                <c:pt idx="339">
                  <c:v>-0.15175537266533534</c:v>
                </c:pt>
                <c:pt idx="340">
                  <c:v>-0.14176699143138494</c:v>
                </c:pt>
                <c:pt idx="341">
                  <c:v>-0.14204092016351322</c:v>
                </c:pt>
                <c:pt idx="342">
                  <c:v>-0.14796815149751386</c:v>
                </c:pt>
                <c:pt idx="343">
                  <c:v>-0.15259709417096967</c:v>
                </c:pt>
                <c:pt idx="344">
                  <c:v>-0.15141067887322035</c:v>
                </c:pt>
                <c:pt idx="345">
                  <c:v>-0.15751848228505527</c:v>
                </c:pt>
                <c:pt idx="346">
                  <c:v>-0.14791179169495661</c:v>
                </c:pt>
                <c:pt idx="347">
                  <c:v>-0.14974819058656408</c:v>
                </c:pt>
                <c:pt idx="348">
                  <c:v>-0.1373482326571539</c:v>
                </c:pt>
                <c:pt idx="349">
                  <c:v>-0.1359567870100612</c:v>
                </c:pt>
                <c:pt idx="350">
                  <c:v>-0.12797606882761736</c:v>
                </c:pt>
                <c:pt idx="351">
                  <c:v>-0.12978192002588729</c:v>
                </c:pt>
                <c:pt idx="352">
                  <c:v>-0.12927645241229357</c:v>
                </c:pt>
                <c:pt idx="353">
                  <c:v>-0.13389159458239785</c:v>
                </c:pt>
                <c:pt idx="354">
                  <c:v>-0.12044268037562011</c:v>
                </c:pt>
                <c:pt idx="355">
                  <c:v>-0.11112100580373097</c:v>
                </c:pt>
                <c:pt idx="356">
                  <c:v>-0.10631702848712732</c:v>
                </c:pt>
                <c:pt idx="357">
                  <c:v>-0.10643436977314691</c:v>
                </c:pt>
                <c:pt idx="358">
                  <c:v>-0.11440004728360176</c:v>
                </c:pt>
                <c:pt idx="359">
                  <c:v>-0.10644208733014371</c:v>
                </c:pt>
                <c:pt idx="360">
                  <c:v>-0.10440983851227381</c:v>
                </c:pt>
                <c:pt idx="361">
                  <c:v>-0.11017089580633499</c:v>
                </c:pt>
                <c:pt idx="362">
                  <c:v>-0.10526718900256349</c:v>
                </c:pt>
                <c:pt idx="363">
                  <c:v>-0.10824376179706274</c:v>
                </c:pt>
                <c:pt idx="364">
                  <c:v>-9.6542752388872888E-2</c:v>
                </c:pt>
                <c:pt idx="365">
                  <c:v>-9.8741499394399912E-2</c:v>
                </c:pt>
                <c:pt idx="366">
                  <c:v>-8.8915839779037165E-2</c:v>
                </c:pt>
                <c:pt idx="367">
                  <c:v>-9.0140640757847446E-2</c:v>
                </c:pt>
                <c:pt idx="368">
                  <c:v>-9.1848158988509954E-2</c:v>
                </c:pt>
                <c:pt idx="369">
                  <c:v>-9.8880077477002226E-2</c:v>
                </c:pt>
                <c:pt idx="370">
                  <c:v>-9.764126012425256E-2</c:v>
                </c:pt>
                <c:pt idx="371">
                  <c:v>-0.10867285257312331</c:v>
                </c:pt>
                <c:pt idx="372">
                  <c:v>-0.11898906039667312</c:v>
                </c:pt>
                <c:pt idx="373">
                  <c:v>-0.11822864857992021</c:v>
                </c:pt>
                <c:pt idx="374">
                  <c:v>-0.11664977660247389</c:v>
                </c:pt>
                <c:pt idx="375">
                  <c:v>-0.10753095383563593</c:v>
                </c:pt>
                <c:pt idx="376">
                  <c:v>-0.12225700497913816</c:v>
                </c:pt>
                <c:pt idx="377">
                  <c:v>-0.12613757470322617</c:v>
                </c:pt>
                <c:pt idx="378">
                  <c:v>-0.13409434108491103</c:v>
                </c:pt>
                <c:pt idx="379">
                  <c:v>-0.14028108183413135</c:v>
                </c:pt>
                <c:pt idx="380">
                  <c:v>-0.14648699496307027</c:v>
                </c:pt>
                <c:pt idx="381">
                  <c:v>-0.14899648651066211</c:v>
                </c:pt>
                <c:pt idx="382">
                  <c:v>-0.15538449904841178</c:v>
                </c:pt>
                <c:pt idx="383">
                  <c:v>-0.14595931492610414</c:v>
                </c:pt>
                <c:pt idx="384">
                  <c:v>-0.14565833806750061</c:v>
                </c:pt>
                <c:pt idx="385">
                  <c:v>-0.13491636515412841</c:v>
                </c:pt>
                <c:pt idx="386">
                  <c:v>-0.12898291371126303</c:v>
                </c:pt>
                <c:pt idx="387">
                  <c:v>-0.15022048125659981</c:v>
                </c:pt>
                <c:pt idx="388">
                  <c:v>-0.14858477680811155</c:v>
                </c:pt>
                <c:pt idx="389">
                  <c:v>-0.15825274410965007</c:v>
                </c:pt>
                <c:pt idx="390">
                  <c:v>-0.16161701314434507</c:v>
                </c:pt>
                <c:pt idx="391">
                  <c:v>-0.15894532048441412</c:v>
                </c:pt>
                <c:pt idx="392">
                  <c:v>-0.16757702405355301</c:v>
                </c:pt>
                <c:pt idx="393">
                  <c:v>-0.17285459996640973</c:v>
                </c:pt>
                <c:pt idx="394">
                  <c:v>-0.18127211433605095</c:v>
                </c:pt>
                <c:pt idx="395">
                  <c:v>-0.19410121425469795</c:v>
                </c:pt>
                <c:pt idx="396">
                  <c:v>-0.20636694422139223</c:v>
                </c:pt>
                <c:pt idx="397">
                  <c:v>-0.21017504092752293</c:v>
                </c:pt>
                <c:pt idx="398">
                  <c:v>-0.19257468575523773</c:v>
                </c:pt>
                <c:pt idx="399">
                  <c:v>-0.20392259716168648</c:v>
                </c:pt>
                <c:pt idx="400">
                  <c:v>-0.20861394379191256</c:v>
                </c:pt>
                <c:pt idx="401">
                  <c:v>-0.19300957352225145</c:v>
                </c:pt>
                <c:pt idx="402">
                  <c:v>-0.17540093410540281</c:v>
                </c:pt>
                <c:pt idx="403">
                  <c:v>-0.17938920357216348</c:v>
                </c:pt>
                <c:pt idx="404">
                  <c:v>-0.18529698797054339</c:v>
                </c:pt>
                <c:pt idx="405">
                  <c:v>-0.19843532579887624</c:v>
                </c:pt>
                <c:pt idx="406">
                  <c:v>-0.2065352115994229</c:v>
                </c:pt>
                <c:pt idx="407">
                  <c:v>-0.2095095752118189</c:v>
                </c:pt>
                <c:pt idx="408">
                  <c:v>-0.20983127082140229</c:v>
                </c:pt>
                <c:pt idx="409">
                  <c:v>-0.20235606417416696</c:v>
                </c:pt>
                <c:pt idx="410">
                  <c:v>-0.21520667554371964</c:v>
                </c:pt>
                <c:pt idx="411">
                  <c:v>-0.20250667400111899</c:v>
                </c:pt>
                <c:pt idx="412">
                  <c:v>-0.19857879739609641</c:v>
                </c:pt>
                <c:pt idx="413">
                  <c:v>-0.20852329459419283</c:v>
                </c:pt>
                <c:pt idx="414">
                  <c:v>-0.21288091689447963</c:v>
                </c:pt>
                <c:pt idx="415">
                  <c:v>-0.20459184751609105</c:v>
                </c:pt>
                <c:pt idx="416">
                  <c:v>-0.20593217167931466</c:v>
                </c:pt>
                <c:pt idx="417">
                  <c:v>-0.19229845006143387</c:v>
                </c:pt>
                <c:pt idx="418">
                  <c:v>-0.18877111290870185</c:v>
                </c:pt>
                <c:pt idx="419">
                  <c:v>-0.18940702384887653</c:v>
                </c:pt>
                <c:pt idx="420">
                  <c:v>-0.18408195666147409</c:v>
                </c:pt>
                <c:pt idx="421">
                  <c:v>-0.18942856722212109</c:v>
                </c:pt>
                <c:pt idx="422">
                  <c:v>-0.18534428015482485</c:v>
                </c:pt>
                <c:pt idx="423">
                  <c:v>-0.19626248825776005</c:v>
                </c:pt>
                <c:pt idx="424">
                  <c:v>-0.20065767369234744</c:v>
                </c:pt>
                <c:pt idx="425">
                  <c:v>-0.1877011935582471</c:v>
                </c:pt>
                <c:pt idx="426">
                  <c:v>-0.18777886788782538</c:v>
                </c:pt>
                <c:pt idx="427">
                  <c:v>-0.18328507607858913</c:v>
                </c:pt>
                <c:pt idx="428">
                  <c:v>-0.19339169490583563</c:v>
                </c:pt>
                <c:pt idx="429">
                  <c:v>-0.15838122235766017</c:v>
                </c:pt>
                <c:pt idx="430">
                  <c:v>-0.15070380231459901</c:v>
                </c:pt>
                <c:pt idx="431">
                  <c:v>-0.15773947015092582</c:v>
                </c:pt>
                <c:pt idx="432">
                  <c:v>-0.1479760446564784</c:v>
                </c:pt>
                <c:pt idx="433">
                  <c:v>-0.15110391327980877</c:v>
                </c:pt>
                <c:pt idx="434">
                  <c:v>-0.15612359100828721</c:v>
                </c:pt>
                <c:pt idx="435">
                  <c:v>-0.15629033801431313</c:v>
                </c:pt>
                <c:pt idx="436">
                  <c:v>-0.15920961389845667</c:v>
                </c:pt>
                <c:pt idx="437">
                  <c:v>-0.15164602944840022</c:v>
                </c:pt>
                <c:pt idx="438">
                  <c:v>-0.14670716415996921</c:v>
                </c:pt>
                <c:pt idx="439">
                  <c:v>-0.147458844672815</c:v>
                </c:pt>
                <c:pt idx="440">
                  <c:v>-0.15623035819865549</c:v>
                </c:pt>
                <c:pt idx="441">
                  <c:v>-0.15370321118122687</c:v>
                </c:pt>
                <c:pt idx="442">
                  <c:v>-0.13587106968634888</c:v>
                </c:pt>
                <c:pt idx="443">
                  <c:v>-0.13047679831419401</c:v>
                </c:pt>
                <c:pt idx="444">
                  <c:v>-0.12999968814552854</c:v>
                </c:pt>
                <c:pt idx="445">
                  <c:v>-0.14379900641278565</c:v>
                </c:pt>
                <c:pt idx="446">
                  <c:v>-0.14810809920955925</c:v>
                </c:pt>
                <c:pt idx="447">
                  <c:v>-0.14524315225022688</c:v>
                </c:pt>
                <c:pt idx="448">
                  <c:v>-0.1424255354720988</c:v>
                </c:pt>
                <c:pt idx="449">
                  <c:v>-0.14743520778667685</c:v>
                </c:pt>
                <c:pt idx="450">
                  <c:v>-0.14364963294142086</c:v>
                </c:pt>
                <c:pt idx="451">
                  <c:v>-0.13381486722353764</c:v>
                </c:pt>
                <c:pt idx="452">
                  <c:v>-0.1352569026589282</c:v>
                </c:pt>
                <c:pt idx="453">
                  <c:v>-0.14754975860636288</c:v>
                </c:pt>
                <c:pt idx="454">
                  <c:v>-0.15378596958801372</c:v>
                </c:pt>
                <c:pt idx="455">
                  <c:v>-0.16050166813343048</c:v>
                </c:pt>
                <c:pt idx="456">
                  <c:v>-0.16127717830592458</c:v>
                </c:pt>
                <c:pt idx="457">
                  <c:v>-0.15394212241365701</c:v>
                </c:pt>
                <c:pt idx="458">
                  <c:v>-0.16133141209503121</c:v>
                </c:pt>
                <c:pt idx="459">
                  <c:v>-0.15956976095492192</c:v>
                </c:pt>
                <c:pt idx="460">
                  <c:v>-0.16256765347108171</c:v>
                </c:pt>
                <c:pt idx="461">
                  <c:v>-0.1712278362416868</c:v>
                </c:pt>
                <c:pt idx="462">
                  <c:v>-0.15998829599681308</c:v>
                </c:pt>
                <c:pt idx="463">
                  <c:v>-0.1630964971408162</c:v>
                </c:pt>
                <c:pt idx="464">
                  <c:v>-0.16156571994320812</c:v>
                </c:pt>
                <c:pt idx="465">
                  <c:v>-0.15299614002814677</c:v>
                </c:pt>
                <c:pt idx="466">
                  <c:v>-0.15971869126112648</c:v>
                </c:pt>
                <c:pt idx="467">
                  <c:v>-0.14343936473969554</c:v>
                </c:pt>
                <c:pt idx="468">
                  <c:v>-0.13992855213141686</c:v>
                </c:pt>
                <c:pt idx="469">
                  <c:v>-0.1385754457071614</c:v>
                </c:pt>
                <c:pt idx="470">
                  <c:v>-0.12815772586607854</c:v>
                </c:pt>
                <c:pt idx="471">
                  <c:v>-0.11918457093748758</c:v>
                </c:pt>
                <c:pt idx="472">
                  <c:v>-0.11721650905972048</c:v>
                </c:pt>
                <c:pt idx="473">
                  <c:v>-0.1184630157387071</c:v>
                </c:pt>
                <c:pt idx="474">
                  <c:v>-0.1208778481577043</c:v>
                </c:pt>
                <c:pt idx="475">
                  <c:v>-0.12206942796969877</c:v>
                </c:pt>
                <c:pt idx="476">
                  <c:v>-0.11657438190239422</c:v>
                </c:pt>
                <c:pt idx="477">
                  <c:v>-0.11246998535356312</c:v>
                </c:pt>
                <c:pt idx="478">
                  <c:v>-0.11093046439867948</c:v>
                </c:pt>
                <c:pt idx="479">
                  <c:v>-0.10984894216346519</c:v>
                </c:pt>
                <c:pt idx="480">
                  <c:v>-0.10634976214731595</c:v>
                </c:pt>
                <c:pt idx="481">
                  <c:v>-0.10637266907720766</c:v>
                </c:pt>
                <c:pt idx="482">
                  <c:v>-0.11512472054863165</c:v>
                </c:pt>
                <c:pt idx="483">
                  <c:v>-0.10573229548721108</c:v>
                </c:pt>
                <c:pt idx="484">
                  <c:v>-9.7629813340435967E-2</c:v>
                </c:pt>
                <c:pt idx="485">
                  <c:v>-9.2710766910408582E-2</c:v>
                </c:pt>
                <c:pt idx="486">
                  <c:v>-0.10621807882466838</c:v>
                </c:pt>
                <c:pt idx="487">
                  <c:v>-0.11264677087594144</c:v>
                </c:pt>
                <c:pt idx="488">
                  <c:v>-0.10812114830620434</c:v>
                </c:pt>
                <c:pt idx="489">
                  <c:v>-0.1115154746726319</c:v>
                </c:pt>
                <c:pt idx="490">
                  <c:v>-0.11751072302415966</c:v>
                </c:pt>
                <c:pt idx="491">
                  <c:v>-0.11952445898903274</c:v>
                </c:pt>
                <c:pt idx="492">
                  <c:v>-0.1138860016509452</c:v>
                </c:pt>
                <c:pt idx="493">
                  <c:v>-0.11435769142660712</c:v>
                </c:pt>
                <c:pt idx="494">
                  <c:v>-0.11629170188988247</c:v>
                </c:pt>
                <c:pt idx="495">
                  <c:v>-0.12319373138298617</c:v>
                </c:pt>
                <c:pt idx="496">
                  <c:v>-0.12357470183280372</c:v>
                </c:pt>
                <c:pt idx="497">
                  <c:v>-0.13667283867402702</c:v>
                </c:pt>
                <c:pt idx="498">
                  <c:v>-0.1377973692994312</c:v>
                </c:pt>
                <c:pt idx="499">
                  <c:v>-0.13225111795067801</c:v>
                </c:pt>
                <c:pt idx="500">
                  <c:v>-0.1421278599166359</c:v>
                </c:pt>
                <c:pt idx="501">
                  <c:v>-0.13853134660479327</c:v>
                </c:pt>
                <c:pt idx="502">
                  <c:v>-0.13914306439259705</c:v>
                </c:pt>
                <c:pt idx="503">
                  <c:v>-0.13922863341536063</c:v>
                </c:pt>
                <c:pt idx="504">
                  <c:v>-0.13775693973243741</c:v>
                </c:pt>
                <c:pt idx="505">
                  <c:v>-0.12556047704123685</c:v>
                </c:pt>
                <c:pt idx="506">
                  <c:v>-0.12884009988330525</c:v>
                </c:pt>
                <c:pt idx="507">
                  <c:v>-0.13883531089055567</c:v>
                </c:pt>
                <c:pt idx="508">
                  <c:v>-0.13764497004145448</c:v>
                </c:pt>
                <c:pt idx="509">
                  <c:v>-0.14598989912573257</c:v>
                </c:pt>
                <c:pt idx="510">
                  <c:v>-0.14647045183369101</c:v>
                </c:pt>
                <c:pt idx="511">
                  <c:v>-0.14476616056209912</c:v>
                </c:pt>
                <c:pt idx="512">
                  <c:v>-0.14181626448948192</c:v>
                </c:pt>
                <c:pt idx="513">
                  <c:v>-0.14479984613669128</c:v>
                </c:pt>
                <c:pt idx="514">
                  <c:v>-0.13913001498486433</c:v>
                </c:pt>
                <c:pt idx="515">
                  <c:v>-0.14143641733651779</c:v>
                </c:pt>
                <c:pt idx="516">
                  <c:v>-0.13837879904521444</c:v>
                </c:pt>
                <c:pt idx="517">
                  <c:v>-0.13488522346220255</c:v>
                </c:pt>
                <c:pt idx="518">
                  <c:v>-0.137983573519739</c:v>
                </c:pt>
                <c:pt idx="519">
                  <c:v>-0.13565291850342032</c:v>
                </c:pt>
                <c:pt idx="520">
                  <c:v>-0.13288101675096398</c:v>
                </c:pt>
                <c:pt idx="521">
                  <c:v>-0.13517428374309792</c:v>
                </c:pt>
                <c:pt idx="522">
                  <c:v>-0.13407751506926513</c:v>
                </c:pt>
                <c:pt idx="523">
                  <c:v>-0.12806752009502664</c:v>
                </c:pt>
                <c:pt idx="524">
                  <c:v>-0.12236996100586006</c:v>
                </c:pt>
                <c:pt idx="525">
                  <c:v>-0.11368418211531484</c:v>
                </c:pt>
                <c:pt idx="526">
                  <c:v>-0.11056784996057001</c:v>
                </c:pt>
                <c:pt idx="527">
                  <c:v>-0.11060488897712983</c:v>
                </c:pt>
                <c:pt idx="528">
                  <c:v>-0.11261852295026165</c:v>
                </c:pt>
                <c:pt idx="529">
                  <c:v>-0.11082954611211515</c:v>
                </c:pt>
                <c:pt idx="530">
                  <c:v>-0.11252232068378831</c:v>
                </c:pt>
                <c:pt idx="531">
                  <c:v>-0.11025566055780878</c:v>
                </c:pt>
                <c:pt idx="532">
                  <c:v>-0.11125627814644234</c:v>
                </c:pt>
                <c:pt idx="533">
                  <c:v>-0.10529394190266594</c:v>
                </c:pt>
                <c:pt idx="534">
                  <c:v>-0.11082581287426696</c:v>
                </c:pt>
                <c:pt idx="535">
                  <c:v>-0.11046666937829452</c:v>
                </c:pt>
                <c:pt idx="536">
                  <c:v>-0.10946650493368315</c:v>
                </c:pt>
                <c:pt idx="537">
                  <c:v>-0.11223686741278205</c:v>
                </c:pt>
                <c:pt idx="538">
                  <c:v>-0.11351011796485377</c:v>
                </c:pt>
                <c:pt idx="539">
                  <c:v>-0.11479684491375097</c:v>
                </c:pt>
                <c:pt idx="540">
                  <c:v>-0.11276409943046717</c:v>
                </c:pt>
                <c:pt idx="541">
                  <c:v>-0.11895177792165135</c:v>
                </c:pt>
                <c:pt idx="542">
                  <c:v>-0.12304704767957197</c:v>
                </c:pt>
                <c:pt idx="543">
                  <c:v>-0.1161988172023396</c:v>
                </c:pt>
                <c:pt idx="544">
                  <c:v>-0.10982444959465298</c:v>
                </c:pt>
                <c:pt idx="545">
                  <c:v>-0.11636374882433143</c:v>
                </c:pt>
                <c:pt idx="546">
                  <c:v>-0.11868844960437619</c:v>
                </c:pt>
                <c:pt idx="547">
                  <c:v>-0.11895423956072182</c:v>
                </c:pt>
                <c:pt idx="548">
                  <c:v>-0.11985737950109132</c:v>
                </c:pt>
                <c:pt idx="549">
                  <c:v>-0.11194509392481744</c:v>
                </c:pt>
                <c:pt idx="550">
                  <c:v>-0.11406922250480089</c:v>
                </c:pt>
                <c:pt idx="551">
                  <c:v>-0.11596726589744077</c:v>
                </c:pt>
                <c:pt idx="552">
                  <c:v>-0.11196071878871872</c:v>
                </c:pt>
                <c:pt idx="553">
                  <c:v>-0.11435867536800781</c:v>
                </c:pt>
                <c:pt idx="554">
                  <c:v>-0.11836776010978989</c:v>
                </c:pt>
                <c:pt idx="555">
                  <c:v>-0.11536540793090422</c:v>
                </c:pt>
                <c:pt idx="556">
                  <c:v>-0.12299030292339364</c:v>
                </c:pt>
                <c:pt idx="557">
                  <c:v>-0.11756449741655195</c:v>
                </c:pt>
                <c:pt idx="558">
                  <c:v>-0.11879817113328739</c:v>
                </c:pt>
                <c:pt idx="559">
                  <c:v>-0.11932552723718193</c:v>
                </c:pt>
                <c:pt idx="560">
                  <c:v>-0.11728860222731463</c:v>
                </c:pt>
                <c:pt idx="561">
                  <c:v>-0.12182534575534265</c:v>
                </c:pt>
                <c:pt idx="562">
                  <c:v>-0.12860330229850536</c:v>
                </c:pt>
                <c:pt idx="563">
                  <c:v>-0.12980360746052655</c:v>
                </c:pt>
                <c:pt idx="564">
                  <c:v>-0.12043387363500235</c:v>
                </c:pt>
                <c:pt idx="565">
                  <c:v>-0.12072733109582956</c:v>
                </c:pt>
                <c:pt idx="566">
                  <c:v>-0.12312810244110273</c:v>
                </c:pt>
                <c:pt idx="567">
                  <c:v>-0.11548010491180005</c:v>
                </c:pt>
                <c:pt idx="568">
                  <c:v>-0.10851356591852745</c:v>
                </c:pt>
                <c:pt idx="569">
                  <c:v>-0.11069378025488785</c:v>
                </c:pt>
                <c:pt idx="570">
                  <c:v>-0.10568419319598676</c:v>
                </c:pt>
                <c:pt idx="571">
                  <c:v>-0.10874321147918375</c:v>
                </c:pt>
                <c:pt idx="572">
                  <c:v>-0.10335139692452899</c:v>
                </c:pt>
                <c:pt idx="573">
                  <c:v>-0.10496014163425504</c:v>
                </c:pt>
                <c:pt idx="574">
                  <c:v>-0.10280742818747601</c:v>
                </c:pt>
                <c:pt idx="575">
                  <c:v>-0.10000934275463447</c:v>
                </c:pt>
                <c:pt idx="576">
                  <c:v>-9.7894094547347654E-2</c:v>
                </c:pt>
                <c:pt idx="577">
                  <c:v>-8.9113419978220532E-2</c:v>
                </c:pt>
                <c:pt idx="578">
                  <c:v>-9.1050864813167043E-2</c:v>
                </c:pt>
                <c:pt idx="579">
                  <c:v>-9.5897941842794654E-2</c:v>
                </c:pt>
                <c:pt idx="580">
                  <c:v>-9.7213515532850292E-2</c:v>
                </c:pt>
                <c:pt idx="581">
                  <c:v>-0.10251463144905482</c:v>
                </c:pt>
                <c:pt idx="582">
                  <c:v>-0.10769977894598237</c:v>
                </c:pt>
                <c:pt idx="583">
                  <c:v>-0.10625578574860772</c:v>
                </c:pt>
                <c:pt idx="584">
                  <c:v>-0.10258761946315664</c:v>
                </c:pt>
                <c:pt idx="585">
                  <c:v>-0.10135554287430748</c:v>
                </c:pt>
                <c:pt idx="586">
                  <c:v>-0.10295026813434704</c:v>
                </c:pt>
                <c:pt idx="587">
                  <c:v>-9.5551659876118578E-2</c:v>
                </c:pt>
                <c:pt idx="588">
                  <c:v>-9.4638675754804669E-2</c:v>
                </c:pt>
                <c:pt idx="589">
                  <c:v>-9.828431565232032E-2</c:v>
                </c:pt>
                <c:pt idx="590">
                  <c:v>-0.10743933050810739</c:v>
                </c:pt>
                <c:pt idx="591">
                  <c:v>-0.10522044915489648</c:v>
                </c:pt>
                <c:pt idx="592">
                  <c:v>-0.10167699031722022</c:v>
                </c:pt>
                <c:pt idx="593">
                  <c:v>-9.5102809717354964E-2</c:v>
                </c:pt>
                <c:pt idx="594">
                  <c:v>-8.4791248406381192E-2</c:v>
                </c:pt>
                <c:pt idx="595">
                  <c:v>-7.6014017121244781E-2</c:v>
                </c:pt>
                <c:pt idx="596">
                  <c:v>-8.0601601621324792E-2</c:v>
                </c:pt>
                <c:pt idx="597">
                  <c:v>-7.942300896856147E-2</c:v>
                </c:pt>
                <c:pt idx="598">
                  <c:v>-7.5025862827260537E-2</c:v>
                </c:pt>
                <c:pt idx="599">
                  <c:v>-7.180438121847843E-2</c:v>
                </c:pt>
                <c:pt idx="600">
                  <c:v>-7.8570547426945803E-2</c:v>
                </c:pt>
                <c:pt idx="601">
                  <c:v>-7.8047751288542799E-2</c:v>
                </c:pt>
                <c:pt idx="602">
                  <c:v>-7.5543372085315363E-2</c:v>
                </c:pt>
                <c:pt idx="603">
                  <c:v>-7.4393574447213506E-2</c:v>
                </c:pt>
                <c:pt idx="604">
                  <c:v>-7.2014694059466589E-2</c:v>
                </c:pt>
                <c:pt idx="605">
                  <c:v>-8.1828028839639688E-2</c:v>
                </c:pt>
                <c:pt idx="606">
                  <c:v>-7.3696200151998736E-2</c:v>
                </c:pt>
                <c:pt idx="607">
                  <c:v>-7.0849933376133767E-2</c:v>
                </c:pt>
                <c:pt idx="608">
                  <c:v>-7.7764669795803654E-2</c:v>
                </c:pt>
                <c:pt idx="609">
                  <c:v>-8.8575572090383581E-2</c:v>
                </c:pt>
                <c:pt idx="610">
                  <c:v>-9.2408105471066371E-2</c:v>
                </c:pt>
                <c:pt idx="611">
                  <c:v>-8.997665602906435E-2</c:v>
                </c:pt>
                <c:pt idx="612">
                  <c:v>-8.8258526501113543E-2</c:v>
                </c:pt>
                <c:pt idx="613">
                  <c:v>-9.042245064420118E-2</c:v>
                </c:pt>
                <c:pt idx="614">
                  <c:v>-9.1507781535396071E-2</c:v>
                </c:pt>
                <c:pt idx="615">
                  <c:v>-9.4390760987452693E-2</c:v>
                </c:pt>
                <c:pt idx="616">
                  <c:v>-9.7373676658298103E-2</c:v>
                </c:pt>
                <c:pt idx="617">
                  <c:v>-9.8358125335635815E-2</c:v>
                </c:pt>
                <c:pt idx="618">
                  <c:v>-0.10599010913697171</c:v>
                </c:pt>
                <c:pt idx="619">
                  <c:v>-0.11260939799524194</c:v>
                </c:pt>
                <c:pt idx="620">
                  <c:v>-0.11664556336602827</c:v>
                </c:pt>
                <c:pt idx="621">
                  <c:v>-0.11522542143444869</c:v>
                </c:pt>
                <c:pt idx="622">
                  <c:v>-0.11577673494209684</c:v>
                </c:pt>
                <c:pt idx="623">
                  <c:v>-0.11536160607495638</c:v>
                </c:pt>
                <c:pt idx="624">
                  <c:v>-0.10429574399202712</c:v>
                </c:pt>
                <c:pt idx="625">
                  <c:v>-0.11094362675440628</c:v>
                </c:pt>
                <c:pt idx="626">
                  <c:v>-0.10769165990490404</c:v>
                </c:pt>
                <c:pt idx="627">
                  <c:v>-0.10290078236019162</c:v>
                </c:pt>
                <c:pt idx="628">
                  <c:v>-9.2978688287236322E-2</c:v>
                </c:pt>
                <c:pt idx="629">
                  <c:v>-9.1917130026393568E-2</c:v>
                </c:pt>
                <c:pt idx="630">
                  <c:v>-9.2967834436363916E-2</c:v>
                </c:pt>
                <c:pt idx="631">
                  <c:v>-9.2141454522318367E-2</c:v>
                </c:pt>
                <c:pt idx="632">
                  <c:v>-9.891924993422363E-2</c:v>
                </c:pt>
                <c:pt idx="633">
                  <c:v>-0.1015242302156093</c:v>
                </c:pt>
                <c:pt idx="634">
                  <c:v>-0.10269148530316319</c:v>
                </c:pt>
                <c:pt idx="635">
                  <c:v>-0.10237990378765927</c:v>
                </c:pt>
                <c:pt idx="636">
                  <c:v>-9.9208367458407998E-2</c:v>
                </c:pt>
                <c:pt idx="637">
                  <c:v>-0.10082254052776596</c:v>
                </c:pt>
                <c:pt idx="638">
                  <c:v>-0.10158655365293678</c:v>
                </c:pt>
                <c:pt idx="639">
                  <c:v>-9.6529643447584745E-2</c:v>
                </c:pt>
                <c:pt idx="640">
                  <c:v>-0.10102183530008635</c:v>
                </c:pt>
                <c:pt idx="641">
                  <c:v>-0.10131910362501595</c:v>
                </c:pt>
                <c:pt idx="642">
                  <c:v>-0.10396448152812265</c:v>
                </c:pt>
                <c:pt idx="643">
                  <c:v>-0.10731026911231167</c:v>
                </c:pt>
                <c:pt idx="644">
                  <c:v>-0.12063021311284439</c:v>
                </c:pt>
                <c:pt idx="645">
                  <c:v>-0.11882884168061181</c:v>
                </c:pt>
                <c:pt idx="646">
                  <c:v>-0.12244709160510925</c:v>
                </c:pt>
                <c:pt idx="647">
                  <c:v>-0.13034197949344928</c:v>
                </c:pt>
                <c:pt idx="648">
                  <c:v>-0.1316034632475217</c:v>
                </c:pt>
                <c:pt idx="649">
                  <c:v>-0.12800408520065232</c:v>
                </c:pt>
                <c:pt idx="650">
                  <c:v>-0.13017710925874104</c:v>
                </c:pt>
                <c:pt idx="651">
                  <c:v>-0.13767094431763871</c:v>
                </c:pt>
                <c:pt idx="652">
                  <c:v>-0.1485822831901803</c:v>
                </c:pt>
                <c:pt idx="653">
                  <c:v>-0.14584084001821085</c:v>
                </c:pt>
                <c:pt idx="654">
                  <c:v>-0.14551758384486357</c:v>
                </c:pt>
                <c:pt idx="655">
                  <c:v>-0.1415405210913081</c:v>
                </c:pt>
                <c:pt idx="656">
                  <c:v>-0.13314752514138839</c:v>
                </c:pt>
                <c:pt idx="657">
                  <c:v>-0.12971127756430012</c:v>
                </c:pt>
                <c:pt idx="658">
                  <c:v>-0.12454284511512947</c:v>
                </c:pt>
                <c:pt idx="659">
                  <c:v>-0.1334583248237533</c:v>
                </c:pt>
                <c:pt idx="660">
                  <c:v>-0.13011758602568013</c:v>
                </c:pt>
                <c:pt idx="661">
                  <c:v>-0.12813660654266812</c:v>
                </c:pt>
                <c:pt idx="662">
                  <c:v>-0.12991106936752717</c:v>
                </c:pt>
                <c:pt idx="663">
                  <c:v>-0.13744417144676102</c:v>
                </c:pt>
                <c:pt idx="664">
                  <c:v>-0.14369334068208495</c:v>
                </c:pt>
                <c:pt idx="665">
                  <c:v>-0.14762260419968354</c:v>
                </c:pt>
                <c:pt idx="666">
                  <c:v>-0.14749900157100682</c:v>
                </c:pt>
                <c:pt idx="667">
                  <c:v>-0.14237649672799835</c:v>
                </c:pt>
                <c:pt idx="668">
                  <c:v>-0.15175093655203276</c:v>
                </c:pt>
                <c:pt idx="669">
                  <c:v>-0.15137113147350767</c:v>
                </c:pt>
                <c:pt idx="670">
                  <c:v>-0.15224028147952651</c:v>
                </c:pt>
                <c:pt idx="671">
                  <c:v>-0.15040098160765858</c:v>
                </c:pt>
                <c:pt idx="672">
                  <c:v>-0.14900375731428106</c:v>
                </c:pt>
                <c:pt idx="673">
                  <c:v>-0.14091160880822617</c:v>
                </c:pt>
                <c:pt idx="674">
                  <c:v>-0.12653400939657622</c:v>
                </c:pt>
                <c:pt idx="675">
                  <c:v>-0.11703130649304894</c:v>
                </c:pt>
                <c:pt idx="676">
                  <c:v>-0.12042100431775749</c:v>
                </c:pt>
                <c:pt idx="677">
                  <c:v>-0.12073585528770969</c:v>
                </c:pt>
                <c:pt idx="678">
                  <c:v>-0.12135212219079461</c:v>
                </c:pt>
                <c:pt idx="679">
                  <c:v>-0.12896710112829102</c:v>
                </c:pt>
                <c:pt idx="680">
                  <c:v>-0.12309349402391123</c:v>
                </c:pt>
                <c:pt idx="681">
                  <c:v>-0.12259997280931978</c:v>
                </c:pt>
                <c:pt idx="682">
                  <c:v>-0.10254656924028716</c:v>
                </c:pt>
                <c:pt idx="683">
                  <c:v>-0.10442285920587646</c:v>
                </c:pt>
                <c:pt idx="684">
                  <c:v>-0.10514527167164289</c:v>
                </c:pt>
                <c:pt idx="685">
                  <c:v>-0.10111664036909418</c:v>
                </c:pt>
                <c:pt idx="686">
                  <c:v>-9.566769073904946E-2</c:v>
                </c:pt>
                <c:pt idx="687">
                  <c:v>-9.70999614095992E-2</c:v>
                </c:pt>
                <c:pt idx="688">
                  <c:v>-9.5927907266782797E-2</c:v>
                </c:pt>
                <c:pt idx="689">
                  <c:v>-9.6499254707995474E-2</c:v>
                </c:pt>
                <c:pt idx="690">
                  <c:v>-9.4686652726055809E-2</c:v>
                </c:pt>
                <c:pt idx="691">
                  <c:v>-9.0517113918526348E-2</c:v>
                </c:pt>
                <c:pt idx="692">
                  <c:v>-8.6976189387125591E-2</c:v>
                </c:pt>
                <c:pt idx="693">
                  <c:v>-8.93250924827661E-2</c:v>
                </c:pt>
                <c:pt idx="694">
                  <c:v>-7.8803953510320435E-2</c:v>
                </c:pt>
                <c:pt idx="695">
                  <c:v>-8.3347879077305675E-2</c:v>
                </c:pt>
                <c:pt idx="696">
                  <c:v>-8.3548807460372854E-2</c:v>
                </c:pt>
                <c:pt idx="697">
                  <c:v>-8.4477716368832168E-2</c:v>
                </c:pt>
                <c:pt idx="698">
                  <c:v>-8.1472623767633312E-2</c:v>
                </c:pt>
                <c:pt idx="699">
                  <c:v>-8.28187278625927E-2</c:v>
                </c:pt>
                <c:pt idx="700">
                  <c:v>-8.2195250275272302E-2</c:v>
                </c:pt>
                <c:pt idx="701">
                  <c:v>-8.1418551172428577E-2</c:v>
                </c:pt>
                <c:pt idx="702">
                  <c:v>-6.3995632983933293E-2</c:v>
                </c:pt>
                <c:pt idx="703">
                  <c:v>-5.2068742004240609E-2</c:v>
                </c:pt>
                <c:pt idx="704">
                  <c:v>-5.5686539603319152E-2</c:v>
                </c:pt>
                <c:pt idx="705">
                  <c:v>-5.4901119498627748E-2</c:v>
                </c:pt>
                <c:pt idx="706">
                  <c:v>-4.8524027781748913E-2</c:v>
                </c:pt>
                <c:pt idx="707">
                  <c:v>-5.5748045508178357E-2</c:v>
                </c:pt>
                <c:pt idx="708">
                  <c:v>-4.8890314061366014E-2</c:v>
                </c:pt>
                <c:pt idx="709">
                  <c:v>-4.8325789644054318E-2</c:v>
                </c:pt>
                <c:pt idx="710">
                  <c:v>-4.2917884808420292E-2</c:v>
                </c:pt>
                <c:pt idx="711">
                  <c:v>-3.7939890886423355E-2</c:v>
                </c:pt>
                <c:pt idx="712">
                  <c:v>-3.9776787040967654E-2</c:v>
                </c:pt>
                <c:pt idx="713">
                  <c:v>-4.4647489325405298E-2</c:v>
                </c:pt>
                <c:pt idx="714">
                  <c:v>-5.0446444198990359E-2</c:v>
                </c:pt>
                <c:pt idx="715">
                  <c:v>-5.6485977207640925E-2</c:v>
                </c:pt>
                <c:pt idx="716">
                  <c:v>-6.0279853478646062E-2</c:v>
                </c:pt>
                <c:pt idx="717">
                  <c:v>-6.1206862635472925E-2</c:v>
                </c:pt>
                <c:pt idx="718">
                  <c:v>-5.4564787568905704E-2</c:v>
                </c:pt>
                <c:pt idx="719">
                  <c:v>-5.7255272899462639E-2</c:v>
                </c:pt>
                <c:pt idx="720">
                  <c:v>-5.6980985690377017E-2</c:v>
                </c:pt>
                <c:pt idx="721">
                  <c:v>-5.5564545310126889E-2</c:v>
                </c:pt>
                <c:pt idx="722">
                  <c:v>-5.3150090894411917E-2</c:v>
                </c:pt>
                <c:pt idx="723">
                  <c:v>-6.2995277955866014E-2</c:v>
                </c:pt>
                <c:pt idx="724">
                  <c:v>-6.9600198153769055E-2</c:v>
                </c:pt>
                <c:pt idx="725">
                  <c:v>-6.6189442777714547E-2</c:v>
                </c:pt>
                <c:pt idx="726">
                  <c:v>-6.0440979338541645E-2</c:v>
                </c:pt>
                <c:pt idx="727">
                  <c:v>-5.7476225477864573E-2</c:v>
                </c:pt>
                <c:pt idx="728">
                  <c:v>-5.7694864647774846E-2</c:v>
                </c:pt>
                <c:pt idx="729">
                  <c:v>-5.8316154654140528E-2</c:v>
                </c:pt>
                <c:pt idx="730">
                  <c:v>-5.2931858343047478E-2</c:v>
                </c:pt>
                <c:pt idx="731">
                  <c:v>-5.3592232716637045E-2</c:v>
                </c:pt>
                <c:pt idx="732">
                  <c:v>-4.7983123660119809E-2</c:v>
                </c:pt>
                <c:pt idx="733">
                  <c:v>-4.9109377709873003E-2</c:v>
                </c:pt>
                <c:pt idx="734">
                  <c:v>-5.4961618124674483E-2</c:v>
                </c:pt>
                <c:pt idx="735">
                  <c:v>-4.6033349304637539E-2</c:v>
                </c:pt>
                <c:pt idx="736">
                  <c:v>-5.1641317998477154E-2</c:v>
                </c:pt>
                <c:pt idx="737">
                  <c:v>-5.8613373249713052E-2</c:v>
                </c:pt>
                <c:pt idx="738">
                  <c:v>-5.1902275907864781E-2</c:v>
                </c:pt>
                <c:pt idx="739">
                  <c:v>-5.0952800849962898E-2</c:v>
                </c:pt>
                <c:pt idx="740">
                  <c:v>-5.0311698839756169E-2</c:v>
                </c:pt>
                <c:pt idx="741">
                  <c:v>-4.738377560087581E-2</c:v>
                </c:pt>
                <c:pt idx="742">
                  <c:v>-4.5680107114172475E-2</c:v>
                </c:pt>
                <c:pt idx="743">
                  <c:v>-6.0957000224777458E-2</c:v>
                </c:pt>
                <c:pt idx="744">
                  <c:v>-5.4391549981657294E-2</c:v>
                </c:pt>
                <c:pt idx="745">
                  <c:v>-4.650999017266455E-2</c:v>
                </c:pt>
                <c:pt idx="746">
                  <c:v>-4.9881139567871102E-2</c:v>
                </c:pt>
                <c:pt idx="747">
                  <c:v>-5.1023570509207583E-2</c:v>
                </c:pt>
                <c:pt idx="748">
                  <c:v>-5.1828289694696439E-2</c:v>
                </c:pt>
                <c:pt idx="749">
                  <c:v>-4.4288893042873534E-2</c:v>
                </c:pt>
                <c:pt idx="750">
                  <c:v>-4.3247615489390268E-2</c:v>
                </c:pt>
                <c:pt idx="751">
                  <c:v>-4.4729239867445258E-2</c:v>
                </c:pt>
                <c:pt idx="752">
                  <c:v>-4.3008036772096969E-2</c:v>
                </c:pt>
                <c:pt idx="753">
                  <c:v>-4.4296703569054352E-2</c:v>
                </c:pt>
                <c:pt idx="754">
                  <c:v>-4.0607222552158651E-2</c:v>
                </c:pt>
                <c:pt idx="755">
                  <c:v>-3.1535066594863381E-2</c:v>
                </c:pt>
                <c:pt idx="756">
                  <c:v>-3.0728820298889348E-2</c:v>
                </c:pt>
                <c:pt idx="757">
                  <c:v>-3.3710462571805211E-2</c:v>
                </c:pt>
                <c:pt idx="758">
                  <c:v>-2.727149749934743E-2</c:v>
                </c:pt>
                <c:pt idx="759">
                  <c:v>-2.2084946703916919E-2</c:v>
                </c:pt>
                <c:pt idx="760">
                  <c:v>-2.2727155495901874E-2</c:v>
                </c:pt>
                <c:pt idx="761">
                  <c:v>-2.3711414315993773E-2</c:v>
                </c:pt>
                <c:pt idx="762">
                  <c:v>-2.2722482374320396E-2</c:v>
                </c:pt>
                <c:pt idx="763">
                  <c:v>-2.2738642542792009E-2</c:v>
                </c:pt>
                <c:pt idx="764">
                  <c:v>-2.9723155901529075E-2</c:v>
                </c:pt>
                <c:pt idx="765">
                  <c:v>-3.1896416285484896E-2</c:v>
                </c:pt>
                <c:pt idx="766">
                  <c:v>-3.0364334174715402E-2</c:v>
                </c:pt>
                <c:pt idx="767">
                  <c:v>-2.8764576208418102E-2</c:v>
                </c:pt>
                <c:pt idx="768">
                  <c:v>-2.1808312188533185E-2</c:v>
                </c:pt>
                <c:pt idx="769">
                  <c:v>-1.9497530774751137E-2</c:v>
                </c:pt>
                <c:pt idx="770">
                  <c:v>-2.2316038376670733E-2</c:v>
                </c:pt>
                <c:pt idx="771">
                  <c:v>-2.3349456098852195E-2</c:v>
                </c:pt>
                <c:pt idx="772">
                  <c:v>-2.4352867828925095E-2</c:v>
                </c:pt>
                <c:pt idx="773">
                  <c:v>-1.6266650438103492E-2</c:v>
                </c:pt>
                <c:pt idx="774">
                  <c:v>-1.3845494919729973E-2</c:v>
                </c:pt>
                <c:pt idx="775">
                  <c:v>-1.8340678576051372E-2</c:v>
                </c:pt>
                <c:pt idx="776">
                  <c:v>-2.1350639548387562E-2</c:v>
                </c:pt>
                <c:pt idx="777">
                  <c:v>-1.8051335427102022E-2</c:v>
                </c:pt>
                <c:pt idx="778">
                  <c:v>-2.2010175146997435E-2</c:v>
                </c:pt>
                <c:pt idx="779">
                  <c:v>-1.9364930202185771E-2</c:v>
                </c:pt>
                <c:pt idx="780">
                  <c:v>-1.6567496879100641E-2</c:v>
                </c:pt>
                <c:pt idx="781">
                  <c:v>-1.2530917865277602E-2</c:v>
                </c:pt>
                <c:pt idx="782">
                  <c:v>-2.7007926102307733E-2</c:v>
                </c:pt>
                <c:pt idx="783">
                  <c:v>-2.2854267047768273E-2</c:v>
                </c:pt>
                <c:pt idx="784">
                  <c:v>-3.0933733952311138E-2</c:v>
                </c:pt>
                <c:pt idx="785">
                  <c:v>-3.8099641560524367E-2</c:v>
                </c:pt>
                <c:pt idx="786">
                  <c:v>-4.2922093839381947E-2</c:v>
                </c:pt>
                <c:pt idx="787">
                  <c:v>-4.570213613807439E-2</c:v>
                </c:pt>
                <c:pt idx="788">
                  <c:v>-4.6809779083443193E-2</c:v>
                </c:pt>
                <c:pt idx="789">
                  <c:v>-4.7683072911411606E-2</c:v>
                </c:pt>
                <c:pt idx="790">
                  <c:v>-4.4226270476999896E-2</c:v>
                </c:pt>
                <c:pt idx="791">
                  <c:v>-3.7771508860383052E-2</c:v>
                </c:pt>
                <c:pt idx="792">
                  <c:v>-3.9177532038490059E-2</c:v>
                </c:pt>
                <c:pt idx="793">
                  <c:v>-4.1356059775567444E-2</c:v>
                </c:pt>
                <c:pt idx="794">
                  <c:v>-3.5478966079926177E-2</c:v>
                </c:pt>
                <c:pt idx="795">
                  <c:v>-3.0961597321317647E-2</c:v>
                </c:pt>
                <c:pt idx="796">
                  <c:v>-4.3652130644074583E-2</c:v>
                </c:pt>
                <c:pt idx="797">
                  <c:v>-4.3172073099208452E-2</c:v>
                </c:pt>
                <c:pt idx="798">
                  <c:v>-3.3952687914044599E-2</c:v>
                </c:pt>
                <c:pt idx="799">
                  <c:v>-2.6269814125427726E-2</c:v>
                </c:pt>
                <c:pt idx="800">
                  <c:v>-2.0316294012832303E-2</c:v>
                </c:pt>
                <c:pt idx="801">
                  <c:v>-1.9189190411319834E-2</c:v>
                </c:pt>
                <c:pt idx="802">
                  <c:v>-2.2245945714466142E-2</c:v>
                </c:pt>
                <c:pt idx="803">
                  <c:v>-1.5824686907233931E-2</c:v>
                </c:pt>
                <c:pt idx="804">
                  <c:v>-1.6633834329391695E-2</c:v>
                </c:pt>
                <c:pt idx="805">
                  <c:v>-1.5451208218185464E-2</c:v>
                </c:pt>
                <c:pt idx="806">
                  <c:v>-1.0598965211265132E-2</c:v>
                </c:pt>
                <c:pt idx="807">
                  <c:v>-5.8467838963571772E-5</c:v>
                </c:pt>
                <c:pt idx="808">
                  <c:v>-2.0125444410701299E-3</c:v>
                </c:pt>
                <c:pt idx="809">
                  <c:v>-1.354375928985796E-5</c:v>
                </c:pt>
                <c:pt idx="810">
                  <c:v>0</c:v>
                </c:pt>
                <c:pt idx="811">
                  <c:v>-1.4093859930086605E-4</c:v>
                </c:pt>
                <c:pt idx="812">
                  <c:v>-5.9424456624581623E-3</c:v>
                </c:pt>
                <c:pt idx="813">
                  <c:v>-1.4652424917874107E-2</c:v>
                </c:pt>
                <c:pt idx="814">
                  <c:v>-9.9594374996982982E-3</c:v>
                </c:pt>
                <c:pt idx="815">
                  <c:v>-1.0521790263002928E-2</c:v>
                </c:pt>
                <c:pt idx="816">
                  <c:v>-1.994713275213722E-2</c:v>
                </c:pt>
                <c:pt idx="817">
                  <c:v>-1.7819813079439362E-2</c:v>
                </c:pt>
                <c:pt idx="818">
                  <c:v>-1.4294762057851962E-2</c:v>
                </c:pt>
                <c:pt idx="819">
                  <c:v>-1.1083850566814157E-2</c:v>
                </c:pt>
                <c:pt idx="820">
                  <c:v>-1.2319135157272121E-2</c:v>
                </c:pt>
                <c:pt idx="821">
                  <c:v>-3.9090786696914792E-3</c:v>
                </c:pt>
                <c:pt idx="822">
                  <c:v>-2.3267107040230162E-3</c:v>
                </c:pt>
                <c:pt idx="823">
                  <c:v>-1.3619962394300966E-2</c:v>
                </c:pt>
                <c:pt idx="824">
                  <c:v>-1.0920224822117963E-2</c:v>
                </c:pt>
                <c:pt idx="825">
                  <c:v>-1.0067625160871452E-2</c:v>
                </c:pt>
                <c:pt idx="826">
                  <c:v>-2.0818210199607945E-3</c:v>
                </c:pt>
                <c:pt idx="827">
                  <c:v>-1.6875308343736739E-3</c:v>
                </c:pt>
                <c:pt idx="828">
                  <c:v>-1.9738633626946722E-3</c:v>
                </c:pt>
                <c:pt idx="829">
                  <c:v>-7.5109273301909862E-4</c:v>
                </c:pt>
                <c:pt idx="830">
                  <c:v>0</c:v>
                </c:pt>
                <c:pt idx="831">
                  <c:v>-1.4206653474899689E-3</c:v>
                </c:pt>
                <c:pt idx="832">
                  <c:v>-4.0614320175641483E-3</c:v>
                </c:pt>
                <c:pt idx="833">
                  <c:v>-2.2002194011898624E-3</c:v>
                </c:pt>
                <c:pt idx="834">
                  <c:v>-3.1240453908492061E-3</c:v>
                </c:pt>
                <c:pt idx="835">
                  <c:v>-7.0605924784993279E-3</c:v>
                </c:pt>
                <c:pt idx="836">
                  <c:v>-2.8130501462185764E-3</c:v>
                </c:pt>
                <c:pt idx="837">
                  <c:v>-5.3869615731985121E-3</c:v>
                </c:pt>
                <c:pt idx="838">
                  <c:v>-7.133387708836314E-3</c:v>
                </c:pt>
                <c:pt idx="839">
                  <c:v>-2.7679122297117331E-3</c:v>
                </c:pt>
                <c:pt idx="840">
                  <c:v>0</c:v>
                </c:pt>
                <c:pt idx="841">
                  <c:v>0</c:v>
                </c:pt>
                <c:pt idx="842">
                  <c:v>-1.2258714302736395E-3</c:v>
                </c:pt>
                <c:pt idx="843">
                  <c:v>-2.6058874336271076E-3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-1.0247143530848213E-3</c:v>
                </c:pt>
                <c:pt idx="848">
                  <c:v>0</c:v>
                </c:pt>
                <c:pt idx="849">
                  <c:v>-6.0687596214284989E-3</c:v>
                </c:pt>
                <c:pt idx="850">
                  <c:v>-1.3561338954522717E-2</c:v>
                </c:pt>
                <c:pt idx="851">
                  <c:v>-2.040257219625119E-2</c:v>
                </c:pt>
                <c:pt idx="852">
                  <c:v>-1.4464172700205613E-2</c:v>
                </c:pt>
                <c:pt idx="853">
                  <c:v>-1.5835593674365711E-2</c:v>
                </c:pt>
                <c:pt idx="854">
                  <c:v>-2.7985993221742445E-2</c:v>
                </c:pt>
                <c:pt idx="855">
                  <c:v>-2.930454264253568E-2</c:v>
                </c:pt>
                <c:pt idx="856">
                  <c:v>-2.1205299333361793E-2</c:v>
                </c:pt>
                <c:pt idx="857">
                  <c:v>-2.1915127023807934E-2</c:v>
                </c:pt>
                <c:pt idx="858">
                  <c:v>-2.1535599259243754E-2</c:v>
                </c:pt>
                <c:pt idx="859">
                  <c:v>-9.1180923296535488E-3</c:v>
                </c:pt>
                <c:pt idx="860">
                  <c:v>-1.7886006396298226E-2</c:v>
                </c:pt>
                <c:pt idx="861">
                  <c:v>-2.4057483142268965E-2</c:v>
                </c:pt>
                <c:pt idx="862">
                  <c:v>-3.9249454186591315E-2</c:v>
                </c:pt>
                <c:pt idx="863">
                  <c:v>-3.8726075442107932E-2</c:v>
                </c:pt>
                <c:pt idx="864">
                  <c:v>-4.1130998101060467E-2</c:v>
                </c:pt>
                <c:pt idx="865">
                  <c:v>-2.9340003491085787E-2</c:v>
                </c:pt>
                <c:pt idx="866">
                  <c:v>-2.538988154743349E-2</c:v>
                </c:pt>
                <c:pt idx="867">
                  <c:v>-2.3033954987401795E-2</c:v>
                </c:pt>
                <c:pt idx="868">
                  <c:v>-1.43276070272641E-2</c:v>
                </c:pt>
                <c:pt idx="869">
                  <c:v>-1.4525371648934526E-2</c:v>
                </c:pt>
                <c:pt idx="870">
                  <c:v>-7.4978387175048677E-3</c:v>
                </c:pt>
                <c:pt idx="871">
                  <c:v>-3.3189513739493304E-3</c:v>
                </c:pt>
                <c:pt idx="872">
                  <c:v>0</c:v>
                </c:pt>
                <c:pt idx="873">
                  <c:v>-1.1768820994229046E-3</c:v>
                </c:pt>
                <c:pt idx="874">
                  <c:v>0</c:v>
                </c:pt>
                <c:pt idx="875">
                  <c:v>-6.7188257059802581E-3</c:v>
                </c:pt>
                <c:pt idx="876">
                  <c:v>0</c:v>
                </c:pt>
                <c:pt idx="877">
                  <c:v>-1.5511115093462813E-3</c:v>
                </c:pt>
                <c:pt idx="878">
                  <c:v>-1.5867078332302276E-3</c:v>
                </c:pt>
                <c:pt idx="879">
                  <c:v>-6.6544521334939155E-3</c:v>
                </c:pt>
                <c:pt idx="880">
                  <c:v>-5.1899953991227932E-3</c:v>
                </c:pt>
                <c:pt idx="881">
                  <c:v>-4.7372509189577139E-3</c:v>
                </c:pt>
                <c:pt idx="882">
                  <c:v>-1.4645177845392876E-2</c:v>
                </c:pt>
                <c:pt idx="883">
                  <c:v>-1.3518250856781266E-2</c:v>
                </c:pt>
                <c:pt idx="884">
                  <c:v>-1.1962229599594698E-2</c:v>
                </c:pt>
                <c:pt idx="885">
                  <c:v>-2.2003543285981975E-2</c:v>
                </c:pt>
                <c:pt idx="886">
                  <c:v>-1.598827513692036E-2</c:v>
                </c:pt>
                <c:pt idx="887">
                  <c:v>-1.4307504958037121E-2</c:v>
                </c:pt>
                <c:pt idx="888">
                  <c:v>-9.8531825333434409E-3</c:v>
                </c:pt>
                <c:pt idx="889">
                  <c:v>-2.9982129962756732E-3</c:v>
                </c:pt>
                <c:pt idx="890">
                  <c:v>0</c:v>
                </c:pt>
                <c:pt idx="891">
                  <c:v>0</c:v>
                </c:pt>
                <c:pt idx="892">
                  <c:v>-5.9718613884796046E-4</c:v>
                </c:pt>
                <c:pt idx="893">
                  <c:v>-4.6849237792011555E-3</c:v>
                </c:pt>
                <c:pt idx="894">
                  <c:v>0</c:v>
                </c:pt>
                <c:pt idx="895">
                  <c:v>-1.6282647376234527E-3</c:v>
                </c:pt>
                <c:pt idx="896">
                  <c:v>-1.9100660430870775E-5</c:v>
                </c:pt>
                <c:pt idx="897">
                  <c:v>0</c:v>
                </c:pt>
                <c:pt idx="898">
                  <c:v>-5.4416346672274685E-3</c:v>
                </c:pt>
                <c:pt idx="899">
                  <c:v>0</c:v>
                </c:pt>
                <c:pt idx="900">
                  <c:v>0</c:v>
                </c:pt>
                <c:pt idx="901">
                  <c:v>-1.9494795855193869E-3</c:v>
                </c:pt>
                <c:pt idx="902">
                  <c:v>-1.9485923063982113E-3</c:v>
                </c:pt>
                <c:pt idx="903">
                  <c:v>-1.1316113861430388E-3</c:v>
                </c:pt>
                <c:pt idx="904">
                  <c:v>-5.2283547416848153E-3</c:v>
                </c:pt>
                <c:pt idx="905">
                  <c:v>-3.7938432609556649E-3</c:v>
                </c:pt>
                <c:pt idx="906">
                  <c:v>-7.4355067837750255E-3</c:v>
                </c:pt>
                <c:pt idx="907">
                  <c:v>-9.3385028001854442E-3</c:v>
                </c:pt>
                <c:pt idx="908">
                  <c:v>-1.0435021666665212E-2</c:v>
                </c:pt>
                <c:pt idx="909">
                  <c:v>-1.0032117067706681E-2</c:v>
                </c:pt>
                <c:pt idx="910">
                  <c:v>-4.9164816056946892E-3</c:v>
                </c:pt>
                <c:pt idx="911">
                  <c:v>-3.984307770913964E-3</c:v>
                </c:pt>
                <c:pt idx="912">
                  <c:v>-7.2977921149997016E-3</c:v>
                </c:pt>
                <c:pt idx="913">
                  <c:v>-2.7275547223092333E-3</c:v>
                </c:pt>
                <c:pt idx="914">
                  <c:v>-5.5452609961265109E-3</c:v>
                </c:pt>
                <c:pt idx="915">
                  <c:v>-2.1643505697485077E-3</c:v>
                </c:pt>
                <c:pt idx="916">
                  <c:v>-9.6738393435479297E-3</c:v>
                </c:pt>
                <c:pt idx="917">
                  <c:v>-8.2609212714578328E-3</c:v>
                </c:pt>
                <c:pt idx="918">
                  <c:v>-1.4165908805039762E-2</c:v>
                </c:pt>
                <c:pt idx="919">
                  <c:v>-1.0835583228007373E-2</c:v>
                </c:pt>
                <c:pt idx="920">
                  <c:v>-1.1971426514901795E-2</c:v>
                </c:pt>
                <c:pt idx="921">
                  <c:v>-1.1551085725319155E-2</c:v>
                </c:pt>
                <c:pt idx="922">
                  <c:v>-1.1007769278578716E-2</c:v>
                </c:pt>
                <c:pt idx="923">
                  <c:v>-1.1600801289738616E-2</c:v>
                </c:pt>
                <c:pt idx="924">
                  <c:v>-2.0126536172472509E-2</c:v>
                </c:pt>
                <c:pt idx="925">
                  <c:v>-2.2663315668479012E-2</c:v>
                </c:pt>
                <c:pt idx="926">
                  <c:v>-1.7221205106954462E-2</c:v>
                </c:pt>
                <c:pt idx="927">
                  <c:v>-8.839827403738898E-3</c:v>
                </c:pt>
                <c:pt idx="928">
                  <c:v>-1.0970049448637775E-2</c:v>
                </c:pt>
                <c:pt idx="929">
                  <c:v>-7.8792618068534992E-5</c:v>
                </c:pt>
                <c:pt idx="930">
                  <c:v>-1.1520203495637427E-3</c:v>
                </c:pt>
                <c:pt idx="931">
                  <c:v>-5.0725339034818351E-3</c:v>
                </c:pt>
                <c:pt idx="932">
                  <c:v>-1.520324316782562E-2</c:v>
                </c:pt>
                <c:pt idx="933">
                  <c:v>-1.8850376435299521E-2</c:v>
                </c:pt>
                <c:pt idx="934">
                  <c:v>-2.2087231003270813E-2</c:v>
                </c:pt>
                <c:pt idx="935">
                  <c:v>-2.7247071670741807E-2</c:v>
                </c:pt>
                <c:pt idx="936">
                  <c:v>-2.0209168496864716E-2</c:v>
                </c:pt>
                <c:pt idx="937">
                  <c:v>-1.6631887705322868E-2</c:v>
                </c:pt>
                <c:pt idx="938">
                  <c:v>-1.7140963677795606E-2</c:v>
                </c:pt>
                <c:pt idx="939">
                  <c:v>-1.3611732397328824E-2</c:v>
                </c:pt>
                <c:pt idx="940">
                  <c:v>-9.4630931338324231E-3</c:v>
                </c:pt>
                <c:pt idx="941">
                  <c:v>-5.4007489187615221E-3</c:v>
                </c:pt>
                <c:pt idx="942">
                  <c:v>-6.3267876444614846E-3</c:v>
                </c:pt>
                <c:pt idx="943">
                  <c:v>-4.8233493364719937E-3</c:v>
                </c:pt>
                <c:pt idx="944">
                  <c:v>0</c:v>
                </c:pt>
                <c:pt idx="945">
                  <c:v>-6.7705616222890619E-4</c:v>
                </c:pt>
                <c:pt idx="946">
                  <c:v>-8.8670247004274394E-4</c:v>
                </c:pt>
                <c:pt idx="947">
                  <c:v>0</c:v>
                </c:pt>
                <c:pt idx="948">
                  <c:v>-1.2438525223291697E-3</c:v>
                </c:pt>
                <c:pt idx="949">
                  <c:v>-2.0818901549235491E-4</c:v>
                </c:pt>
                <c:pt idx="950">
                  <c:v>0</c:v>
                </c:pt>
                <c:pt idx="951">
                  <c:v>-3.545160649771506E-3</c:v>
                </c:pt>
                <c:pt idx="952">
                  <c:v>0</c:v>
                </c:pt>
                <c:pt idx="953">
                  <c:v>-6.9136741680858593E-3</c:v>
                </c:pt>
                <c:pt idx="954">
                  <c:v>-1.0226990974187222E-2</c:v>
                </c:pt>
                <c:pt idx="955">
                  <c:v>-8.9218194501645698E-3</c:v>
                </c:pt>
                <c:pt idx="956">
                  <c:v>-1.2139502481245956E-2</c:v>
                </c:pt>
                <c:pt idx="957">
                  <c:v>-3.4396299892243021E-2</c:v>
                </c:pt>
                <c:pt idx="958">
                  <c:v>-3.8354690032482708E-2</c:v>
                </c:pt>
                <c:pt idx="959">
                  <c:v>-3.1572061414298136E-2</c:v>
                </c:pt>
                <c:pt idx="960">
                  <c:v>-3.1052945062896242E-2</c:v>
                </c:pt>
                <c:pt idx="961">
                  <c:v>-2.5750111251044094E-2</c:v>
                </c:pt>
                <c:pt idx="962">
                  <c:v>-2.4035607049971208E-2</c:v>
                </c:pt>
                <c:pt idx="963">
                  <c:v>-3.0125731457840477E-2</c:v>
                </c:pt>
                <c:pt idx="964">
                  <c:v>-3.2269693976922476E-2</c:v>
                </c:pt>
                <c:pt idx="965">
                  <c:v>-3.2585247103469217E-2</c:v>
                </c:pt>
                <c:pt idx="966">
                  <c:v>-3.1628480306711171E-2</c:v>
                </c:pt>
                <c:pt idx="967">
                  <c:v>-2.7431589211799556E-2</c:v>
                </c:pt>
                <c:pt idx="968">
                  <c:v>-2.6434821859822266E-2</c:v>
                </c:pt>
                <c:pt idx="969">
                  <c:v>-3.1951761267297818E-2</c:v>
                </c:pt>
                <c:pt idx="970">
                  <c:v>-3.1729130501407798E-2</c:v>
                </c:pt>
                <c:pt idx="971">
                  <c:v>-3.9635836323889895E-2</c:v>
                </c:pt>
                <c:pt idx="972">
                  <c:v>-4.0035984135983083E-2</c:v>
                </c:pt>
                <c:pt idx="973">
                  <c:v>-3.6699748920988928E-2</c:v>
                </c:pt>
                <c:pt idx="974">
                  <c:v>-2.3487828066389271E-2</c:v>
                </c:pt>
                <c:pt idx="975">
                  <c:v>-2.1132903110159473E-2</c:v>
                </c:pt>
                <c:pt idx="976">
                  <c:v>-1.8115152129353773E-2</c:v>
                </c:pt>
                <c:pt idx="977">
                  <c:v>-8.6906969791040733E-3</c:v>
                </c:pt>
                <c:pt idx="978">
                  <c:v>-9.9500093699514958E-3</c:v>
                </c:pt>
                <c:pt idx="979">
                  <c:v>-8.7513492887382194E-3</c:v>
                </c:pt>
                <c:pt idx="980">
                  <c:v>-7.0557495244581991E-3</c:v>
                </c:pt>
                <c:pt idx="981">
                  <c:v>-1.1802965021270873E-2</c:v>
                </c:pt>
                <c:pt idx="982">
                  <c:v>-9.6850268078039203E-3</c:v>
                </c:pt>
                <c:pt idx="983">
                  <c:v>-1.2072261903014025E-2</c:v>
                </c:pt>
                <c:pt idx="984">
                  <c:v>-4.9487620274201172E-3</c:v>
                </c:pt>
                <c:pt idx="985">
                  <c:v>-9.2549169945901344E-3</c:v>
                </c:pt>
                <c:pt idx="986">
                  <c:v>-1.1341875752298392E-2</c:v>
                </c:pt>
                <c:pt idx="987">
                  <c:v>-4.2267355312368693E-3</c:v>
                </c:pt>
                <c:pt idx="988">
                  <c:v>0</c:v>
                </c:pt>
                <c:pt idx="989">
                  <c:v>0</c:v>
                </c:pt>
                <c:pt idx="990">
                  <c:v>-5.169099366303942E-3</c:v>
                </c:pt>
                <c:pt idx="991">
                  <c:v>0</c:v>
                </c:pt>
                <c:pt idx="992">
                  <c:v>-8.2227950073332501E-4</c:v>
                </c:pt>
                <c:pt idx="993">
                  <c:v>-4.9762149937156996E-3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-6.734621207627467E-3</c:v>
                </c:pt>
                <c:pt idx="1000">
                  <c:v>-8.7906068194754106E-3</c:v>
                </c:pt>
                <c:pt idx="1001">
                  <c:v>-7.8241984295109868E-3</c:v>
                </c:pt>
                <c:pt idx="1002">
                  <c:v>-6.4665850401505187E-3</c:v>
                </c:pt>
                <c:pt idx="1003">
                  <c:v>-1.5900738522426461E-2</c:v>
                </c:pt>
                <c:pt idx="1004">
                  <c:v>-1.1809867303631982E-2</c:v>
                </c:pt>
                <c:pt idx="1005">
                  <c:v>-1.5403090831273225E-2</c:v>
                </c:pt>
                <c:pt idx="1006">
                  <c:v>-1.8399693360762304E-2</c:v>
                </c:pt>
                <c:pt idx="1007">
                  <c:v>-1.171574941457576E-2</c:v>
                </c:pt>
                <c:pt idx="1008">
                  <c:v>-2.1900559308987932E-2</c:v>
                </c:pt>
                <c:pt idx="1009">
                  <c:v>-1.8440877029410441E-2</c:v>
                </c:pt>
                <c:pt idx="1010">
                  <c:v>-3.0356742025371197E-2</c:v>
                </c:pt>
                <c:pt idx="1011">
                  <c:v>-3.2065194311540091E-2</c:v>
                </c:pt>
                <c:pt idx="1012">
                  <c:v>-3.0330940328595069E-2</c:v>
                </c:pt>
                <c:pt idx="1013">
                  <c:v>-3.4549746585835983E-2</c:v>
                </c:pt>
                <c:pt idx="1014">
                  <c:v>-2.4339342496723648E-2</c:v>
                </c:pt>
                <c:pt idx="1015">
                  <c:v>-1.6640201172800517E-2</c:v>
                </c:pt>
                <c:pt idx="1016">
                  <c:v>-1.9488950310400321E-2</c:v>
                </c:pt>
                <c:pt idx="1017">
                  <c:v>-1.3147765361774866E-2</c:v>
                </c:pt>
                <c:pt idx="1018">
                  <c:v>-1.5708321863234009E-2</c:v>
                </c:pt>
                <c:pt idx="1019">
                  <c:v>-1.9666928701635777E-2</c:v>
                </c:pt>
                <c:pt idx="1020">
                  <c:v>-1.4258752641451045E-2</c:v>
                </c:pt>
                <c:pt idx="1021">
                  <c:v>-1.4112624319397749E-2</c:v>
                </c:pt>
                <c:pt idx="1022">
                  <c:v>-2.0255108977061509E-2</c:v>
                </c:pt>
                <c:pt idx="1023">
                  <c:v>-2.0198323176212507E-2</c:v>
                </c:pt>
                <c:pt idx="1024">
                  <c:v>-2.5523900787900899E-2</c:v>
                </c:pt>
                <c:pt idx="1025">
                  <c:v>-2.1876887955894153E-2</c:v>
                </c:pt>
                <c:pt idx="1026">
                  <c:v>-1.9216645142940969E-2</c:v>
                </c:pt>
                <c:pt idx="1027">
                  <c:v>-1.5115033979490322E-2</c:v>
                </c:pt>
                <c:pt idx="1028">
                  <c:v>-3.8682283013323437E-2</c:v>
                </c:pt>
                <c:pt idx="1029">
                  <c:v>-7.0058192721287993E-2</c:v>
                </c:pt>
                <c:pt idx="1030">
                  <c:v>-8.5820292459277359E-2</c:v>
                </c:pt>
                <c:pt idx="1031">
                  <c:v>-9.8189857649996215E-2</c:v>
                </c:pt>
                <c:pt idx="1032">
                  <c:v>-5.0421978858392946E-2</c:v>
                </c:pt>
                <c:pt idx="1033">
                  <c:v>-6.9675288138913771E-2</c:v>
                </c:pt>
                <c:pt idx="1034">
                  <c:v>-5.7600704177052431E-2</c:v>
                </c:pt>
                <c:pt idx="1035">
                  <c:v>-5.0543824951519989E-2</c:v>
                </c:pt>
                <c:pt idx="1036">
                  <c:v>-4.831832111922274E-2</c:v>
                </c:pt>
                <c:pt idx="1037">
                  <c:v>-4.9837520487485243E-2</c:v>
                </c:pt>
                <c:pt idx="1038">
                  <c:v>-4.6539006071546152E-2</c:v>
                </c:pt>
                <c:pt idx="1039">
                  <c:v>-5.5450183409824327E-2</c:v>
                </c:pt>
                <c:pt idx="1040">
                  <c:v>-4.4707028175385188E-2</c:v>
                </c:pt>
                <c:pt idx="1041">
                  <c:v>-4.0000563311039294E-2</c:v>
                </c:pt>
                <c:pt idx="1042">
                  <c:v>-2.7477368798213053E-2</c:v>
                </c:pt>
                <c:pt idx="1043">
                  <c:v>-2.526127425852398E-2</c:v>
                </c:pt>
                <c:pt idx="1044">
                  <c:v>-2.1952972182938124E-2</c:v>
                </c:pt>
                <c:pt idx="1045">
                  <c:v>-2.0054776605136326E-2</c:v>
                </c:pt>
                <c:pt idx="1046">
                  <c:v>-2.3629355176641553E-2</c:v>
                </c:pt>
                <c:pt idx="1047">
                  <c:v>-2.3737850760641388E-2</c:v>
                </c:pt>
                <c:pt idx="1048">
                  <c:v>-1.5485857430033501E-2</c:v>
                </c:pt>
                <c:pt idx="1049">
                  <c:v>-1.5269117157565404E-2</c:v>
                </c:pt>
                <c:pt idx="1050">
                  <c:v>-1.4564412499646795E-2</c:v>
                </c:pt>
                <c:pt idx="1051">
                  <c:v>-1.6199441385422286E-2</c:v>
                </c:pt>
                <c:pt idx="1052">
                  <c:v>-1.6415737382114215E-2</c:v>
                </c:pt>
                <c:pt idx="1053">
                  <c:v>-1.37997399698504E-2</c:v>
                </c:pt>
                <c:pt idx="1054">
                  <c:v>-4.503707864736195E-3</c:v>
                </c:pt>
                <c:pt idx="1055">
                  <c:v>-1.7346302516821899E-3</c:v>
                </c:pt>
                <c:pt idx="1056">
                  <c:v>-6.2174092689679661E-3</c:v>
                </c:pt>
                <c:pt idx="1057">
                  <c:v>-2.6847170273391896E-4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-1.0813825076865458E-2</c:v>
                </c:pt>
                <c:pt idx="1062">
                  <c:v>-1.1146822306427717E-2</c:v>
                </c:pt>
                <c:pt idx="1063">
                  <c:v>-9.508662763738851E-3</c:v>
                </c:pt>
                <c:pt idx="1064">
                  <c:v>-7.0091925035542513E-4</c:v>
                </c:pt>
                <c:pt idx="1065">
                  <c:v>-5.1609351347788879E-3</c:v>
                </c:pt>
                <c:pt idx="1066">
                  <c:v>-1.3333186557948906E-3</c:v>
                </c:pt>
                <c:pt idx="1067">
                  <c:v>-3.3651223877680936E-3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-1.3383106194989614E-3</c:v>
                </c:pt>
                <c:pt idx="1072">
                  <c:v>-5.2759506434019166E-5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-4.8932729905797334E-3</c:v>
                </c:pt>
                <c:pt idx="1078">
                  <c:v>-2.9984691460218649E-3</c:v>
                </c:pt>
                <c:pt idx="1079">
                  <c:v>-4.3828121924349706E-3</c:v>
                </c:pt>
                <c:pt idx="1080">
                  <c:v>-3.4071542450365699E-3</c:v>
                </c:pt>
                <c:pt idx="1081">
                  <c:v>-4.7704789747352594E-3</c:v>
                </c:pt>
                <c:pt idx="1082">
                  <c:v>-1.4241517956690153E-3</c:v>
                </c:pt>
                <c:pt idx="1083">
                  <c:v>0</c:v>
                </c:pt>
                <c:pt idx="1084">
                  <c:v>-2.9434622595725379E-3</c:v>
                </c:pt>
                <c:pt idx="1085">
                  <c:v>0</c:v>
                </c:pt>
                <c:pt idx="1086">
                  <c:v>-1.4968812816549271E-3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-7.143306612974798E-3</c:v>
                </c:pt>
                <c:pt idx="1092">
                  <c:v>-6.7490074140715839E-3</c:v>
                </c:pt>
                <c:pt idx="1093">
                  <c:v>-1.9989448183342917E-3</c:v>
                </c:pt>
                <c:pt idx="1094">
                  <c:v>-8.9601238977909947E-4</c:v>
                </c:pt>
                <c:pt idx="1095">
                  <c:v>-3.8456233771757553E-3</c:v>
                </c:pt>
                <c:pt idx="1096">
                  <c:v>-3.3457394779923266E-3</c:v>
                </c:pt>
                <c:pt idx="1097">
                  <c:v>-8.6910011345466831E-3</c:v>
                </c:pt>
                <c:pt idx="1098">
                  <c:v>-4.7756166983389248E-3</c:v>
                </c:pt>
                <c:pt idx="1099">
                  <c:v>-1.1845932852215801E-3</c:v>
                </c:pt>
                <c:pt idx="1100">
                  <c:v>-1.1714970703181615E-3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-3.2350479689300382E-3</c:v>
                </c:pt>
                <c:pt idx="1105">
                  <c:v>-3.3046522007335044E-3</c:v>
                </c:pt>
                <c:pt idx="1106">
                  <c:v>-6.9902630847183955E-3</c:v>
                </c:pt>
                <c:pt idx="1107">
                  <c:v>-2.8302719421056111E-3</c:v>
                </c:pt>
                <c:pt idx="1108">
                  <c:v>-8.4496081552442037E-3</c:v>
                </c:pt>
                <c:pt idx="1109">
                  <c:v>-1.2481332915359133E-2</c:v>
                </c:pt>
                <c:pt idx="1110">
                  <c:v>-1.4954972841639602E-2</c:v>
                </c:pt>
                <c:pt idx="1111">
                  <c:v>-6.6370453738016089E-3</c:v>
                </c:pt>
                <c:pt idx="1112">
                  <c:v>-7.0260838699096606E-3</c:v>
                </c:pt>
                <c:pt idx="1113">
                  <c:v>-6.0126629729626568E-3</c:v>
                </c:pt>
                <c:pt idx="1114">
                  <c:v>-3.7973814171742282E-3</c:v>
                </c:pt>
                <c:pt idx="1115">
                  <c:v>-3.2610639152420573E-3</c:v>
                </c:pt>
                <c:pt idx="1116">
                  <c:v>-5.6542385027149589E-3</c:v>
                </c:pt>
                <c:pt idx="1117">
                  <c:v>0</c:v>
                </c:pt>
                <c:pt idx="1118">
                  <c:v>0</c:v>
                </c:pt>
                <c:pt idx="1119">
                  <c:v>-4.3141685425518439E-3</c:v>
                </c:pt>
                <c:pt idx="1120">
                  <c:v>-5.2310634094899777E-3</c:v>
                </c:pt>
                <c:pt idx="1121">
                  <c:v>-5.8747187160688163E-3</c:v>
                </c:pt>
                <c:pt idx="1122">
                  <c:v>-7.6277064760050806E-3</c:v>
                </c:pt>
                <c:pt idx="1123">
                  <c:v>-6.1483989443514853E-3</c:v>
                </c:pt>
                <c:pt idx="1124">
                  <c:v>-8.5270021483510039E-3</c:v>
                </c:pt>
                <c:pt idx="1125">
                  <c:v>0</c:v>
                </c:pt>
                <c:pt idx="1126">
                  <c:v>-4.1144861138954214E-3</c:v>
                </c:pt>
                <c:pt idx="1127">
                  <c:v>-2.8881766421731125E-3</c:v>
                </c:pt>
                <c:pt idx="1128">
                  <c:v>-1.7231737599011643E-3</c:v>
                </c:pt>
                <c:pt idx="1129">
                  <c:v>0</c:v>
                </c:pt>
                <c:pt idx="1130">
                  <c:v>-2.4676184713540161E-3</c:v>
                </c:pt>
                <c:pt idx="1131">
                  <c:v>-4.4143637800190261E-3</c:v>
                </c:pt>
                <c:pt idx="1132">
                  <c:v>-1.0697529455713228E-3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-9.485130245149298E-4</c:v>
                </c:pt>
                <c:pt idx="1137">
                  <c:v>0</c:v>
                </c:pt>
                <c:pt idx="1138">
                  <c:v>0</c:v>
                </c:pt>
                <c:pt idx="1139">
                  <c:v>-1.4521289933406845E-3</c:v>
                </c:pt>
                <c:pt idx="1140">
                  <c:v>0</c:v>
                </c:pt>
                <c:pt idx="1141">
                  <c:v>0</c:v>
                </c:pt>
                <c:pt idx="1142">
                  <c:v>-2.2597493707015026E-3</c:v>
                </c:pt>
                <c:pt idx="1143">
                  <c:v>-5.7142995570769184E-4</c:v>
                </c:pt>
                <c:pt idx="1144">
                  <c:v>-1.2929142938602478E-3</c:v>
                </c:pt>
                <c:pt idx="1145">
                  <c:v>0</c:v>
                </c:pt>
                <c:pt idx="1146">
                  <c:v>0</c:v>
                </c:pt>
                <c:pt idx="1147">
                  <c:v>-4.0966495466681074E-3</c:v>
                </c:pt>
                <c:pt idx="1148">
                  <c:v>-6.587562015943127E-3</c:v>
                </c:pt>
                <c:pt idx="1149">
                  <c:v>-3.0913759325102985E-3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-1.8011321582597217E-3</c:v>
                </c:pt>
                <c:pt idx="1157">
                  <c:v>0</c:v>
                </c:pt>
                <c:pt idx="1158">
                  <c:v>-5.7116453726727689E-3</c:v>
                </c:pt>
                <c:pt idx="1159">
                  <c:v>-1.8275255562319459E-2</c:v>
                </c:pt>
                <c:pt idx="1160">
                  <c:v>-5.6377646267526949E-3</c:v>
                </c:pt>
                <c:pt idx="1161">
                  <c:v>-4.1164187854346723E-3</c:v>
                </c:pt>
                <c:pt idx="1162">
                  <c:v>0</c:v>
                </c:pt>
                <c:pt idx="1163">
                  <c:v>0</c:v>
                </c:pt>
                <c:pt idx="1164">
                  <c:v>-7.167007214117227E-4</c:v>
                </c:pt>
                <c:pt idx="1165">
                  <c:v>0</c:v>
                </c:pt>
                <c:pt idx="1166">
                  <c:v>-7.9480536047510375E-3</c:v>
                </c:pt>
                <c:pt idx="1167">
                  <c:v>-8.8562157090910087E-3</c:v>
                </c:pt>
                <c:pt idx="1168">
                  <c:v>-4.5910131597067805E-3</c:v>
                </c:pt>
                <c:pt idx="1169">
                  <c:v>-8.5751773591169478E-4</c:v>
                </c:pt>
                <c:pt idx="1170">
                  <c:v>0</c:v>
                </c:pt>
                <c:pt idx="1171">
                  <c:v>-2.4295144960914117E-3</c:v>
                </c:pt>
                <c:pt idx="1172">
                  <c:v>-6.8326784951644459E-3</c:v>
                </c:pt>
                <c:pt idx="1173">
                  <c:v>-1.0039956111278059E-2</c:v>
                </c:pt>
                <c:pt idx="1174">
                  <c:v>-9.4808533104696613E-3</c:v>
                </c:pt>
                <c:pt idx="1175">
                  <c:v>-8.7218986407869847E-3</c:v>
                </c:pt>
                <c:pt idx="1176">
                  <c:v>-1.6638659630794916E-2</c:v>
                </c:pt>
                <c:pt idx="1177">
                  <c:v>-1.4053541478388776E-2</c:v>
                </c:pt>
                <c:pt idx="1178">
                  <c:v>-1.7480160855247284E-2</c:v>
                </c:pt>
                <c:pt idx="1179">
                  <c:v>-1.5441614117141511E-2</c:v>
                </c:pt>
                <c:pt idx="1180">
                  <c:v>-5.9340162745258329E-3</c:v>
                </c:pt>
                <c:pt idx="1181">
                  <c:v>-2.3467287821549165E-3</c:v>
                </c:pt>
                <c:pt idx="1182">
                  <c:v>-2.3518984419524935E-3</c:v>
                </c:pt>
                <c:pt idx="1183">
                  <c:v>-1.3425151205672892E-2</c:v>
                </c:pt>
                <c:pt idx="1184">
                  <c:v>-1.5261957450126817E-2</c:v>
                </c:pt>
                <c:pt idx="1185">
                  <c:v>-2.1906933989494726E-2</c:v>
                </c:pt>
                <c:pt idx="1186">
                  <c:v>-2.3035630162761889E-2</c:v>
                </c:pt>
                <c:pt idx="1187">
                  <c:v>-2.4272080217608072E-2</c:v>
                </c:pt>
                <c:pt idx="1188">
                  <c:v>-3.1754713796076861E-2</c:v>
                </c:pt>
                <c:pt idx="1189">
                  <c:v>-2.5109468908089183E-2</c:v>
                </c:pt>
                <c:pt idx="1190">
                  <c:v>-1.6391960023241281E-2</c:v>
                </c:pt>
                <c:pt idx="1191">
                  <c:v>-1.0827283710635349E-2</c:v>
                </c:pt>
                <c:pt idx="1192">
                  <c:v>-4.6018021036087209E-3</c:v>
                </c:pt>
                <c:pt idx="1193">
                  <c:v>-8.2831932642024597E-4</c:v>
                </c:pt>
                <c:pt idx="1194">
                  <c:v>-5.4268030234279063E-3</c:v>
                </c:pt>
                <c:pt idx="1195">
                  <c:v>-5.3391973303126283E-3</c:v>
                </c:pt>
                <c:pt idx="1196">
                  <c:v>-1.6415387330568354E-3</c:v>
                </c:pt>
                <c:pt idx="1197">
                  <c:v>-1.4440825290128467E-3</c:v>
                </c:pt>
                <c:pt idx="1198">
                  <c:v>-1.0439786543041674E-3</c:v>
                </c:pt>
                <c:pt idx="1199">
                  <c:v>-4.5825899450994134E-3</c:v>
                </c:pt>
                <c:pt idx="1200">
                  <c:v>-4.9329694328674734E-3</c:v>
                </c:pt>
                <c:pt idx="1201">
                  <c:v>0</c:v>
                </c:pt>
                <c:pt idx="1202">
                  <c:v>0</c:v>
                </c:pt>
                <c:pt idx="1203">
                  <c:v>-7.1836201576754855E-3</c:v>
                </c:pt>
                <c:pt idx="1204">
                  <c:v>-7.8863047327994984E-3</c:v>
                </c:pt>
                <c:pt idx="1205">
                  <c:v>-9.7436562263075732E-3</c:v>
                </c:pt>
                <c:pt idx="1206">
                  <c:v>-1.2603967577395347E-2</c:v>
                </c:pt>
                <c:pt idx="1207">
                  <c:v>-8.7897014610036628E-3</c:v>
                </c:pt>
                <c:pt idx="1208">
                  <c:v>-5.2953581193513344E-3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-5.3250105807880477E-3</c:v>
                </c:pt>
                <c:pt idx="1214">
                  <c:v>-5.2785663286335494E-3</c:v>
                </c:pt>
                <c:pt idx="1215">
                  <c:v>-1.1421213132613794E-2</c:v>
                </c:pt>
                <c:pt idx="1216">
                  <c:v>-7.0076698284176064E-3</c:v>
                </c:pt>
                <c:pt idx="1217">
                  <c:v>0</c:v>
                </c:pt>
                <c:pt idx="1218">
                  <c:v>0</c:v>
                </c:pt>
                <c:pt idx="1219">
                  <c:v>-3.015899333380534E-3</c:v>
                </c:pt>
                <c:pt idx="1220">
                  <c:v>-1.1224174725793512E-3</c:v>
                </c:pt>
                <c:pt idx="1221">
                  <c:v>0</c:v>
                </c:pt>
                <c:pt idx="1222">
                  <c:v>0</c:v>
                </c:pt>
                <c:pt idx="1223">
                  <c:v>-1.3246305759384569E-5</c:v>
                </c:pt>
                <c:pt idx="1224">
                  <c:v>0</c:v>
                </c:pt>
                <c:pt idx="1225">
                  <c:v>0</c:v>
                </c:pt>
                <c:pt idx="1226">
                  <c:v>-6.6570346319039242E-4</c:v>
                </c:pt>
                <c:pt idx="1227">
                  <c:v>-6.5820627743715665E-3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-1.6905743864939371E-2</c:v>
                </c:pt>
                <c:pt idx="1236">
                  <c:v>-2.1886405371805195E-2</c:v>
                </c:pt>
                <c:pt idx="1237">
                  <c:v>-1.5786250995684425E-2</c:v>
                </c:pt>
                <c:pt idx="1238">
                  <c:v>-1.8328730012647121E-2</c:v>
                </c:pt>
                <c:pt idx="1239">
                  <c:v>-2.5620407207606832E-2</c:v>
                </c:pt>
                <c:pt idx="1240">
                  <c:v>-1.0437407686377687E-2</c:v>
                </c:pt>
                <c:pt idx="1241">
                  <c:v>-3.7379679311473346E-3</c:v>
                </c:pt>
                <c:pt idx="1242">
                  <c:v>-2.8972318358404525E-3</c:v>
                </c:pt>
                <c:pt idx="1243">
                  <c:v>-6.9960814809366667E-4</c:v>
                </c:pt>
                <c:pt idx="1244">
                  <c:v>-9.925009647416716E-3</c:v>
                </c:pt>
                <c:pt idx="1245">
                  <c:v>-3.5519082791948264E-3</c:v>
                </c:pt>
                <c:pt idx="1246">
                  <c:v>-6.4693364620452831E-3</c:v>
                </c:pt>
                <c:pt idx="1247">
                  <c:v>-2.0001013312794802E-3</c:v>
                </c:pt>
                <c:pt idx="1248">
                  <c:v>-1.7103222505093774E-3</c:v>
                </c:pt>
                <c:pt idx="1249">
                  <c:v>0</c:v>
                </c:pt>
                <c:pt idx="1250">
                  <c:v>-1.0932511084491559E-3</c:v>
                </c:pt>
                <c:pt idx="1251">
                  <c:v>0</c:v>
                </c:pt>
                <c:pt idx="1252">
                  <c:v>0</c:v>
                </c:pt>
                <c:pt idx="1253">
                  <c:v>-2.9214635628549424E-5</c:v>
                </c:pt>
                <c:pt idx="12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53-4465-B9C0-09AAB00A2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85400"/>
        <c:axId val="2110087920"/>
      </c:lineChart>
      <c:dateAx>
        <c:axId val="21100854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87920"/>
        <c:crosses val="autoZero"/>
        <c:auto val="0"/>
        <c:lblOffset val="100"/>
        <c:baseTimeUnit val="days"/>
        <c:majorUnit val="6"/>
        <c:majorTimeUnit val="months"/>
      </c:dateAx>
      <c:valAx>
        <c:axId val="2110087920"/>
        <c:scaling>
          <c:orientation val="minMax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85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16410</xdr:rowOff>
    </xdr:from>
    <xdr:to>
      <xdr:col>2</xdr:col>
      <xdr:colOff>438150</xdr:colOff>
      <xdr:row>17</xdr:row>
      <xdr:rowOff>92198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A56FE-C519-4F38-9C77-B4FDD7837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282726</xdr:colOff>
      <xdr:row>3</xdr:row>
      <xdr:rowOff>1</xdr:rowOff>
    </xdr:from>
    <xdr:to>
      <xdr:col>10</xdr:col>
      <xdr:colOff>70179</xdr:colOff>
      <xdr:row>17</xdr:row>
      <xdr:rowOff>72572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04839D-71AB-48D6-8541-8CE5300AF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8F370F3-5992-4BB4-BD6D-3DF8F63D877F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PORT_EQW" tableColumnId="2"/>
    </queryTableFields>
  </queryTableRefresh>
  <extLst>
    <ext xmlns:x15="http://schemas.microsoft.com/office/spreadsheetml/2010/11/main" uri="{883FBD77-0823-4a55-B5E3-86C4891E6966}">
      <x15:queryTable sourceDataName="Query - Portfolio_Return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4" xr16:uid="{CF765152-E9DD-4F1C-BB0B-9EF53FCD9391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DBC" tableColumnId="2"/>
      <queryTableField id="3" name="EEM" tableColumnId="3"/>
      <queryTableField id="4" name="EFA" tableColumnId="4"/>
      <queryTableField id="5" name="GLD" tableColumnId="5"/>
      <queryTableField id="6" name="HYG" tableColumnId="6"/>
      <queryTableField id="7" name="IEF" tableColumnId="7"/>
      <queryTableField id="8" name="IWM" tableColumnId="8"/>
      <queryTableField id="9" name="LQD" tableColumnId="9"/>
      <queryTableField id="10" name="QQQ" tableColumnId="10"/>
      <queryTableField id="11" name="SPY" tableColumnId="11"/>
      <queryTableField id="12" name="TLT" tableColumnId="12"/>
      <queryTableField id="13" name="VNQ" tableColumnId="13"/>
    </queryTableFields>
  </queryTableRefresh>
  <extLst>
    <ext xmlns:x15="http://schemas.microsoft.com/office/spreadsheetml/2010/11/main" uri="{883FBD77-0823-4a55-B5E3-86C4891E6966}">
      <x15:queryTable sourceDataName="Query - CorrMatrix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9A3DB671-10F0-4552-9FC0-CE57FB38B11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Ann_Vol" tableColumnId="2"/>
      <queryTableField id="3" name="Max_Drawdown" tableColumnId="3"/>
      <queryTableField id="4" name="VaR_95" tableColumnId="4"/>
      <queryTableField id="5" name="CVaR_95" tableColumnId="5"/>
      <queryTableField id="6" name="Corr_with_SPY" tableColumnId="6"/>
      <queryTableField id="7" name="Start_Date" tableColumnId="7"/>
      <queryTableField id="8" name="End_Date" tableColumnId="8"/>
      <queryTableField id="9" name="Num_Obs" tableColumnId="9"/>
    </queryTableFields>
  </queryTableRefresh>
  <extLst>
    <ext xmlns:x15="http://schemas.microsoft.com/office/spreadsheetml/2010/11/main" uri="{883FBD77-0823-4a55-B5E3-86C4891E6966}">
      <x15:queryTable sourceDataName="Query - Summary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0673334A-6696-4E1E-A9DF-EB73764A799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DBC" tableColumnId="2"/>
      <queryTableField id="3" name="EEM" tableColumnId="3"/>
      <queryTableField id="4" name="EFA" tableColumnId="4"/>
      <queryTableField id="5" name="GLD" tableColumnId="5"/>
      <queryTableField id="6" name="HYG" tableColumnId="6"/>
      <queryTableField id="7" name="IEF" tableColumnId="7"/>
      <queryTableField id="8" name="IWM" tableColumnId="8"/>
      <queryTableField id="9" name="LQD" tableColumnId="9"/>
      <queryTableField id="10" name="QQQ" tableColumnId="10"/>
      <queryTableField id="11" name="SPY" tableColumnId="11"/>
      <queryTableField id="12" name="TLT" tableColumnId="12"/>
      <queryTableField id="13" name="VNQ" tableColumnId="13"/>
    </queryTableFields>
  </queryTableRefresh>
  <extLst>
    <ext xmlns:x15="http://schemas.microsoft.com/office/spreadsheetml/2010/11/main" uri="{883FBD77-0823-4a55-B5E3-86C4891E6966}">
      <x15:queryTable sourceDataName="Query - CorrMatrix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D2D09-82DB-45AA-91C2-0CF4583137BD}" name="Portfolio_Returns" displayName="Portfolio_Returns" ref="A1:B1256" tableType="queryTable" totalsRowShown="0">
  <autoFilter ref="A1:B1256" xr:uid="{4F0D2D09-82DB-45AA-91C2-0CF4583137BD}"/>
  <tableColumns count="2">
    <tableColumn id="1" xr3:uid="{618FDF99-FD46-4D7B-835B-9141C5A0BCC8}" uniqueName="1" name="Date" queryTableFieldId="1"/>
    <tableColumn id="2" xr3:uid="{3D84E789-7368-412A-AFBA-0B5A4F80ABCF}" uniqueName="2" name="PORT_EQW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D45274-9ECC-47A4-B059-AB2A21D0A34D}" name="CorrMatrix5" displayName="CorrMatrix5" ref="L5:X17" tableType="queryTable" totalsRowShown="0" headerRowDxfId="17" dataDxfId="16" headerRowCellStyle="Comma" dataCellStyle="Comma">
  <autoFilter ref="L5:X17" xr:uid="{6BD45274-9ECC-47A4-B059-AB2A21D0A34D}"/>
  <tableColumns count="13">
    <tableColumn id="1" xr3:uid="{FCD5F7A0-952F-4B19-8D7B-490B4EBDED87}" uniqueName="1" name="Ticker" queryTableFieldId="1" dataDxfId="15" dataCellStyle="Comma"/>
    <tableColumn id="2" xr3:uid="{8E0E624D-8C65-48CD-A2CE-9D128AFBD107}" uniqueName="2" name="DBC" queryTableFieldId="2" dataDxfId="14" dataCellStyle="Comma"/>
    <tableColumn id="3" xr3:uid="{924FCD63-3CC0-4950-A1D3-ADA9256946C0}" uniqueName="3" name="EEM" queryTableFieldId="3" dataDxfId="13" dataCellStyle="Comma"/>
    <tableColumn id="4" xr3:uid="{D652EC00-5F15-4A49-8E86-07CFA6629ECF}" uniqueName="4" name="EFA" queryTableFieldId="4" dataDxfId="12" dataCellStyle="Comma"/>
    <tableColumn id="5" xr3:uid="{D3B33FCD-7BCE-4CAC-ADFE-6A6323D8C263}" uniqueName="5" name="GLD" queryTableFieldId="5" dataDxfId="11" dataCellStyle="Comma"/>
    <tableColumn id="6" xr3:uid="{C787E330-CE64-479F-B968-E9EE4AB0276C}" uniqueName="6" name="HYG" queryTableFieldId="6" dataDxfId="10" dataCellStyle="Comma"/>
    <tableColumn id="7" xr3:uid="{1D2A5E00-5786-457E-86A1-E47E44762D39}" uniqueName="7" name="IEF" queryTableFieldId="7" dataDxfId="9" dataCellStyle="Comma"/>
    <tableColumn id="8" xr3:uid="{3D5E0ADD-8756-4296-90E8-E870718B1B9E}" uniqueName="8" name="IWM" queryTableFieldId="8" dataDxfId="8" dataCellStyle="Comma"/>
    <tableColumn id="9" xr3:uid="{F88625C9-B7CA-45AD-BC91-254EE9FE7C76}" uniqueName="9" name="LQD" queryTableFieldId="9" dataDxfId="7" dataCellStyle="Comma"/>
    <tableColumn id="10" xr3:uid="{30D308D3-9A02-4483-975E-CE564587F78E}" uniqueName="10" name="QQQ" queryTableFieldId="10" dataDxfId="6" dataCellStyle="Comma"/>
    <tableColumn id="11" xr3:uid="{06BD73F2-F4FF-4575-BF5C-B2FEE152E73F}" uniqueName="11" name="SPY" queryTableFieldId="11" dataDxfId="5" dataCellStyle="Comma"/>
    <tableColumn id="12" xr3:uid="{B6DD9B71-90B0-4AA7-953B-C8D93A4C900D}" uniqueName="12" name="TLT" queryTableFieldId="12" dataDxfId="4" dataCellStyle="Comma"/>
    <tableColumn id="13" xr3:uid="{AC6C0C6E-B039-4F1C-93BE-064642FD0AC2}" uniqueName="13" name="VNQ" queryTableFieldId="13" dataDxfId="3" dataCellStyle="Comm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0346C1-8968-4F33-A6E0-DC610431BF28}" name="Summary" displayName="Summary" ref="A1:I15" tableType="queryTable" totalsRowCount="1">
  <autoFilter ref="A1:I14" xr:uid="{CA0346C1-8968-4F33-A6E0-DC610431BF28}"/>
  <tableColumns count="9">
    <tableColumn id="1" xr3:uid="{17793C19-8C6D-481E-9849-68CD5B5CABE0}" uniqueName="1" name="Column1" queryTableFieldId="1" dataDxfId="2" totalsRowDxfId="1"/>
    <tableColumn id="2" xr3:uid="{300FCD7F-9BA4-4603-8E2E-E525219C56B3}" uniqueName="2" name="Ann_Vol" queryTableFieldId="2"/>
    <tableColumn id="3" xr3:uid="{765046A0-3C2B-4D12-8B1A-FC49C96BD7C5}" uniqueName="3" name="Max_Drawdown" queryTableFieldId="3"/>
    <tableColumn id="4" xr3:uid="{E038BE5C-9F27-4692-98B9-116D33C2AD27}" uniqueName="4" name="VaR_95" queryTableFieldId="4"/>
    <tableColumn id="5" xr3:uid="{72F69975-2EA6-46F3-8C3E-D0DB2F2C4872}" uniqueName="5" name="CVaR_95" queryTableFieldId="5"/>
    <tableColumn id="6" xr3:uid="{A954CD51-FFB0-4F3A-9870-A05250EA57B7}" uniqueName="6" name="Corr_with_SPY" queryTableFieldId="6"/>
    <tableColumn id="7" xr3:uid="{4F1D96D5-7A68-4957-B4E1-B2F563D6CF8F}" uniqueName="7" name="Start_Date" queryTableFieldId="7"/>
    <tableColumn id="8" xr3:uid="{64A4F56E-4817-4DB4-A425-E7FFF278A64E}" uniqueName="8" name="End_Date" queryTableFieldId="8"/>
    <tableColumn id="9" xr3:uid="{E8DB1665-6045-4115-8FB1-7187704B5731}" uniqueName="9" name="Num_Obs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A0F5FF-6B53-421E-8E20-3FCA6FC7C34E}" name="CorrMatrix" displayName="CorrMatrix" ref="A1:M13" tableType="queryTable" totalsRowShown="0">
  <autoFilter ref="A1:M13" xr:uid="{80A0F5FF-6B53-421E-8E20-3FCA6FC7C34E}"/>
  <tableColumns count="13">
    <tableColumn id="1" xr3:uid="{F3E7830E-626A-400E-9668-C04739D38EB7}" uniqueName="1" name="Column1" queryTableFieldId="1" dataDxfId="0"/>
    <tableColumn id="2" xr3:uid="{750666FD-EA4C-4B7A-B76B-19B4D019C94D}" uniqueName="2" name="DBC" queryTableFieldId="2"/>
    <tableColumn id="3" xr3:uid="{2FCE0B87-428B-4F42-8F9A-3B6BA93AAA6A}" uniqueName="3" name="EEM" queryTableFieldId="3"/>
    <tableColumn id="4" xr3:uid="{B0996B46-B29A-4ED7-85BD-6E058D405702}" uniqueName="4" name="EFA" queryTableFieldId="4"/>
    <tableColumn id="5" xr3:uid="{156FBF0E-A1EE-4BD3-9614-A7CE89BA2448}" uniqueName="5" name="GLD" queryTableFieldId="5"/>
    <tableColumn id="6" xr3:uid="{C33C16E8-CEC2-4327-8AB8-34737D7AC5BD}" uniqueName="6" name="HYG" queryTableFieldId="6"/>
    <tableColumn id="7" xr3:uid="{969C835D-2B3B-488C-B816-38876801BF53}" uniqueName="7" name="IEF" queryTableFieldId="7"/>
    <tableColumn id="8" xr3:uid="{4C92FFD5-18E7-4314-859A-1D24394F9147}" uniqueName="8" name="IWM" queryTableFieldId="8"/>
    <tableColumn id="9" xr3:uid="{7CF26782-62CD-4465-BD38-3E9C64A05595}" uniqueName="9" name="LQD" queryTableFieldId="9"/>
    <tableColumn id="10" xr3:uid="{D4A60261-9DC1-4B99-9D5F-C1441AC836A0}" uniqueName="10" name="QQQ" queryTableFieldId="10"/>
    <tableColumn id="11" xr3:uid="{021C57A0-EB36-4EB6-A539-AAB6AD6F8341}" uniqueName="11" name="SPY" queryTableFieldId="11"/>
    <tableColumn id="12" xr3:uid="{4F9EE883-E220-43FC-9EC2-908B643DB70B}" uniqueName="12" name="TLT" queryTableFieldId="12"/>
    <tableColumn id="13" xr3:uid="{53B26F0D-B383-4008-BBE3-457FEC3F4C51}" uniqueName="13" name="VNQ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701D-B931-4285-93DF-3A54BB03CBE9}">
  <dimension ref="A1:B1256"/>
  <sheetViews>
    <sheetView workbookViewId="0">
      <selection activeCell="E9" sqref="E9"/>
    </sheetView>
  </sheetViews>
  <sheetFormatPr defaultRowHeight="14.5" x14ac:dyDescent="0.35"/>
  <cols>
    <col min="1" max="1" width="15" customWidth="1"/>
    <col min="2" max="2" width="12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44257</v>
      </c>
      <c r="B2">
        <v>-4.5530276567868101E-3</v>
      </c>
    </row>
    <row r="3" spans="1:2" x14ac:dyDescent="0.35">
      <c r="A3">
        <v>44258</v>
      </c>
      <c r="B3">
        <v>-8.2330290706163836E-3</v>
      </c>
    </row>
    <row r="4" spans="1:2" x14ac:dyDescent="0.35">
      <c r="A4">
        <v>44259</v>
      </c>
      <c r="B4">
        <v>-9.8799038899399332E-3</v>
      </c>
    </row>
    <row r="5" spans="1:2" x14ac:dyDescent="0.35">
      <c r="A5">
        <v>44260</v>
      </c>
      <c r="B5">
        <v>8.867536710381466E-3</v>
      </c>
    </row>
    <row r="6" spans="1:2" x14ac:dyDescent="0.35">
      <c r="A6">
        <v>44263</v>
      </c>
      <c r="B6">
        <v>-8.569829878165033E-3</v>
      </c>
    </row>
    <row r="7" spans="1:2" x14ac:dyDescent="0.35">
      <c r="A7">
        <v>44264</v>
      </c>
      <c r="B7">
        <v>1.3798178428642239E-2</v>
      </c>
    </row>
    <row r="8" spans="1:2" x14ac:dyDescent="0.35">
      <c r="A8">
        <v>44265</v>
      </c>
      <c r="B8">
        <v>4.4956067473984583E-3</v>
      </c>
    </row>
    <row r="9" spans="1:2" x14ac:dyDescent="0.35">
      <c r="A9">
        <v>44266</v>
      </c>
      <c r="B9">
        <v>9.5529001250019251E-3</v>
      </c>
    </row>
    <row r="10" spans="1:2" x14ac:dyDescent="0.35">
      <c r="A10">
        <v>44267</v>
      </c>
      <c r="B10">
        <v>-3.9118062340908156E-3</v>
      </c>
    </row>
    <row r="11" spans="1:2" x14ac:dyDescent="0.35">
      <c r="A11">
        <v>44270</v>
      </c>
      <c r="B11">
        <v>4.1527879598180079E-3</v>
      </c>
    </row>
    <row r="12" spans="1:2" x14ac:dyDescent="0.35">
      <c r="A12">
        <v>44271</v>
      </c>
      <c r="B12">
        <v>-1.7450739008057501E-3</v>
      </c>
    </row>
    <row r="13" spans="1:2" x14ac:dyDescent="0.35">
      <c r="A13">
        <v>44272</v>
      </c>
      <c r="B13">
        <v>1.9777856901201079E-3</v>
      </c>
    </row>
    <row r="14" spans="1:2" x14ac:dyDescent="0.35">
      <c r="A14">
        <v>44273</v>
      </c>
      <c r="B14">
        <v>-1.635023801388193E-2</v>
      </c>
    </row>
    <row r="15" spans="1:2" x14ac:dyDescent="0.35">
      <c r="A15">
        <v>44274</v>
      </c>
      <c r="B15">
        <v>3.9713820205584498E-3</v>
      </c>
    </row>
    <row r="16" spans="1:2" x14ac:dyDescent="0.35">
      <c r="A16">
        <v>44277</v>
      </c>
      <c r="B16">
        <v>3.5532002460524331E-3</v>
      </c>
    </row>
    <row r="17" spans="1:2" x14ac:dyDescent="0.35">
      <c r="A17">
        <v>44278</v>
      </c>
      <c r="B17">
        <v>-8.3515841186782482E-3</v>
      </c>
    </row>
    <row r="18" spans="1:2" x14ac:dyDescent="0.35">
      <c r="A18">
        <v>44279</v>
      </c>
      <c r="B18">
        <v>-3.2094293127897001E-3</v>
      </c>
    </row>
    <row r="19" spans="1:2" x14ac:dyDescent="0.35">
      <c r="A19">
        <v>44280</v>
      </c>
      <c r="B19">
        <v>1.2468513300112421E-3</v>
      </c>
    </row>
    <row r="20" spans="1:2" x14ac:dyDescent="0.35">
      <c r="A20">
        <v>44281</v>
      </c>
      <c r="B20">
        <v>1.099987295107294E-2</v>
      </c>
    </row>
    <row r="21" spans="1:2" x14ac:dyDescent="0.35">
      <c r="A21">
        <v>44284</v>
      </c>
      <c r="B21">
        <v>-5.838232294562375E-3</v>
      </c>
    </row>
    <row r="22" spans="1:2" x14ac:dyDescent="0.35">
      <c r="A22">
        <v>44285</v>
      </c>
      <c r="B22">
        <v>-1.3152414710361829E-3</v>
      </c>
    </row>
    <row r="23" spans="1:2" x14ac:dyDescent="0.35">
      <c r="A23">
        <v>44286</v>
      </c>
      <c r="B23">
        <v>4.0481023469577087E-3</v>
      </c>
    </row>
    <row r="24" spans="1:2" x14ac:dyDescent="0.35">
      <c r="A24">
        <v>44287</v>
      </c>
      <c r="B24">
        <v>1.1699795117943459E-2</v>
      </c>
    </row>
    <row r="25" spans="1:2" x14ac:dyDescent="0.35">
      <c r="A25">
        <v>44291</v>
      </c>
      <c r="B25">
        <v>2.9446353689759159E-3</v>
      </c>
    </row>
    <row r="26" spans="1:2" x14ac:dyDescent="0.35">
      <c r="A26">
        <v>44292</v>
      </c>
      <c r="B26">
        <v>2.0792802919837919E-3</v>
      </c>
    </row>
    <row r="27" spans="1:2" x14ac:dyDescent="0.35">
      <c r="A27">
        <v>44293</v>
      </c>
      <c r="B27">
        <v>-2.8496366019297079E-3</v>
      </c>
    </row>
    <row r="28" spans="1:2" x14ac:dyDescent="0.35">
      <c r="A28">
        <v>44294</v>
      </c>
      <c r="B28">
        <v>5.4732530867120004E-3</v>
      </c>
    </row>
    <row r="29" spans="1:2" x14ac:dyDescent="0.35">
      <c r="A29">
        <v>44295</v>
      </c>
      <c r="B29">
        <v>-1.10365397839525E-3</v>
      </c>
    </row>
    <row r="30" spans="1:2" x14ac:dyDescent="0.35">
      <c r="A30">
        <v>44298</v>
      </c>
      <c r="B30">
        <v>-1.5210004721052421E-3</v>
      </c>
    </row>
    <row r="31" spans="1:2" x14ac:dyDescent="0.35">
      <c r="A31">
        <v>44299</v>
      </c>
      <c r="B31">
        <v>5.1253878756665743E-3</v>
      </c>
    </row>
    <row r="32" spans="1:2" x14ac:dyDescent="0.35">
      <c r="A32">
        <v>44300</v>
      </c>
      <c r="B32">
        <v>6.1513930505493336E-4</v>
      </c>
    </row>
    <row r="33" spans="1:2" x14ac:dyDescent="0.35">
      <c r="A33">
        <v>44301</v>
      </c>
      <c r="B33">
        <v>1.0085929917851131E-2</v>
      </c>
    </row>
    <row r="34" spans="1:2" x14ac:dyDescent="0.35">
      <c r="A34">
        <v>44302</v>
      </c>
      <c r="B34">
        <v>2.5936712457393319E-4</v>
      </c>
    </row>
    <row r="35" spans="1:2" x14ac:dyDescent="0.35">
      <c r="A35">
        <v>44305</v>
      </c>
      <c r="B35">
        <v>-3.355811201310158E-3</v>
      </c>
    </row>
    <row r="36" spans="1:2" x14ac:dyDescent="0.35">
      <c r="A36">
        <v>44306</v>
      </c>
      <c r="B36">
        <v>-3.611054729936575E-3</v>
      </c>
    </row>
    <row r="37" spans="1:2" x14ac:dyDescent="0.35">
      <c r="A37">
        <v>44307</v>
      </c>
      <c r="B37">
        <v>6.7244949902057656E-3</v>
      </c>
    </row>
    <row r="38" spans="1:2" x14ac:dyDescent="0.35">
      <c r="A38">
        <v>44308</v>
      </c>
      <c r="B38">
        <v>-2.6404328531839591E-3</v>
      </c>
    </row>
    <row r="39" spans="1:2" x14ac:dyDescent="0.35">
      <c r="A39">
        <v>44309</v>
      </c>
      <c r="B39">
        <v>6.4043487703787736E-3</v>
      </c>
    </row>
    <row r="40" spans="1:2" x14ac:dyDescent="0.35">
      <c r="A40">
        <v>44312</v>
      </c>
      <c r="B40">
        <v>2.505897936608016E-3</v>
      </c>
    </row>
    <row r="41" spans="1:2" x14ac:dyDescent="0.35">
      <c r="A41">
        <v>44313</v>
      </c>
      <c r="B41">
        <v>-1.6315582675080331E-3</v>
      </c>
    </row>
    <row r="42" spans="1:2" x14ac:dyDescent="0.35">
      <c r="A42">
        <v>44314</v>
      </c>
      <c r="B42">
        <v>1.218260689818534E-3</v>
      </c>
    </row>
    <row r="43" spans="1:2" x14ac:dyDescent="0.35">
      <c r="A43">
        <v>44315</v>
      </c>
      <c r="B43">
        <v>8.8597956647134993E-4</v>
      </c>
    </row>
    <row r="44" spans="1:2" x14ac:dyDescent="0.35">
      <c r="A44">
        <v>44316</v>
      </c>
      <c r="B44">
        <v>-4.9846266625545249E-3</v>
      </c>
    </row>
    <row r="45" spans="1:2" x14ac:dyDescent="0.35">
      <c r="A45">
        <v>44319</v>
      </c>
      <c r="B45">
        <v>3.3382086050255341E-3</v>
      </c>
    </row>
    <row r="46" spans="1:2" x14ac:dyDescent="0.35">
      <c r="A46">
        <v>44320</v>
      </c>
      <c r="B46">
        <v>-4.3694066902868816E-3</v>
      </c>
    </row>
    <row r="47" spans="1:2" x14ac:dyDescent="0.35">
      <c r="A47">
        <v>44321</v>
      </c>
      <c r="B47">
        <v>7.2309456817549978E-4</v>
      </c>
    </row>
    <row r="48" spans="1:2" x14ac:dyDescent="0.35">
      <c r="A48">
        <v>44322</v>
      </c>
      <c r="B48">
        <v>5.4097239059759834E-3</v>
      </c>
    </row>
    <row r="49" spans="1:2" x14ac:dyDescent="0.35">
      <c r="A49">
        <v>44323</v>
      </c>
      <c r="B49">
        <v>6.4996740681829987E-3</v>
      </c>
    </row>
    <row r="50" spans="1:2" x14ac:dyDescent="0.35">
      <c r="A50">
        <v>44326</v>
      </c>
      <c r="B50">
        <v>-8.9896626483570996E-3</v>
      </c>
    </row>
    <row r="51" spans="1:2" x14ac:dyDescent="0.35">
      <c r="A51">
        <v>44327</v>
      </c>
      <c r="B51">
        <v>-3.5921455134182581E-3</v>
      </c>
    </row>
    <row r="52" spans="1:2" x14ac:dyDescent="0.35">
      <c r="A52">
        <v>44328</v>
      </c>
      <c r="B52">
        <v>-1.5425353059144531E-2</v>
      </c>
    </row>
    <row r="53" spans="1:2" x14ac:dyDescent="0.35">
      <c r="A53">
        <v>44329</v>
      </c>
      <c r="B53">
        <v>3.8276479092715422E-3</v>
      </c>
    </row>
    <row r="54" spans="1:2" x14ac:dyDescent="0.35">
      <c r="A54">
        <v>44330</v>
      </c>
      <c r="B54">
        <v>1.2175028621934571E-2</v>
      </c>
    </row>
    <row r="55" spans="1:2" x14ac:dyDescent="0.35">
      <c r="A55">
        <v>44333</v>
      </c>
      <c r="B55">
        <v>7.5178246198550822E-4</v>
      </c>
    </row>
    <row r="56" spans="1:2" x14ac:dyDescent="0.35">
      <c r="A56">
        <v>44334</v>
      </c>
      <c r="B56">
        <v>-1.5273188749346581E-3</v>
      </c>
    </row>
    <row r="57" spans="1:2" x14ac:dyDescent="0.35">
      <c r="A57">
        <v>44335</v>
      </c>
      <c r="B57">
        <v>-4.479095283755158E-3</v>
      </c>
    </row>
    <row r="58" spans="1:2" x14ac:dyDescent="0.35">
      <c r="A58">
        <v>44336</v>
      </c>
      <c r="B58">
        <v>7.0473052605239169E-3</v>
      </c>
    </row>
    <row r="59" spans="1:2" x14ac:dyDescent="0.35">
      <c r="A59">
        <v>44337</v>
      </c>
      <c r="B59">
        <v>5.9467686998333389E-5</v>
      </c>
    </row>
    <row r="60" spans="1:2" x14ac:dyDescent="0.35">
      <c r="A60">
        <v>44340</v>
      </c>
      <c r="B60">
        <v>7.0396002090471494E-3</v>
      </c>
    </row>
    <row r="61" spans="1:2" x14ac:dyDescent="0.35">
      <c r="A61">
        <v>44341</v>
      </c>
      <c r="B61">
        <v>1.827044773358925E-3</v>
      </c>
    </row>
    <row r="62" spans="1:2" x14ac:dyDescent="0.35">
      <c r="A62">
        <v>44342</v>
      </c>
      <c r="B62">
        <v>2.6824415261384668E-3</v>
      </c>
    </row>
    <row r="63" spans="1:2" x14ac:dyDescent="0.35">
      <c r="A63">
        <v>44343</v>
      </c>
      <c r="B63">
        <v>1.1450841543765499E-3</v>
      </c>
    </row>
    <row r="64" spans="1:2" x14ac:dyDescent="0.35">
      <c r="A64">
        <v>44344</v>
      </c>
      <c r="B64">
        <v>1.53920682521812E-3</v>
      </c>
    </row>
    <row r="65" spans="1:2" x14ac:dyDescent="0.35">
      <c r="A65">
        <v>44348</v>
      </c>
      <c r="B65">
        <v>5.5940098621256587E-3</v>
      </c>
    </row>
    <row r="66" spans="1:2" x14ac:dyDescent="0.35">
      <c r="A66">
        <v>44349</v>
      </c>
      <c r="B66">
        <v>3.152743826597033E-3</v>
      </c>
    </row>
    <row r="67" spans="1:2" x14ac:dyDescent="0.35">
      <c r="A67">
        <v>44350</v>
      </c>
      <c r="B67">
        <v>-6.8394546448479997E-3</v>
      </c>
    </row>
    <row r="68" spans="1:2" x14ac:dyDescent="0.35">
      <c r="A68">
        <v>44351</v>
      </c>
      <c r="B68">
        <v>8.2383650075614906E-3</v>
      </c>
    </row>
    <row r="69" spans="1:2" x14ac:dyDescent="0.35">
      <c r="A69">
        <v>44354</v>
      </c>
      <c r="B69">
        <v>2.2300016425435918E-3</v>
      </c>
    </row>
    <row r="70" spans="1:2" x14ac:dyDescent="0.35">
      <c r="A70">
        <v>44355</v>
      </c>
      <c r="B70">
        <v>2.9551136441344091E-3</v>
      </c>
    </row>
    <row r="71" spans="1:2" x14ac:dyDescent="0.35">
      <c r="A71">
        <v>44356</v>
      </c>
      <c r="B71">
        <v>-1.950010529592917E-4</v>
      </c>
    </row>
    <row r="72" spans="1:2" x14ac:dyDescent="0.35">
      <c r="A72">
        <v>44357</v>
      </c>
      <c r="B72">
        <v>4.1177803348053411E-3</v>
      </c>
    </row>
    <row r="73" spans="1:2" x14ac:dyDescent="0.35">
      <c r="A73">
        <v>44358</v>
      </c>
      <c r="B73">
        <v>-5.4268146491300007E-4</v>
      </c>
    </row>
    <row r="74" spans="1:2" x14ac:dyDescent="0.35">
      <c r="A74">
        <v>44361</v>
      </c>
      <c r="B74">
        <v>-8.089336109059497E-4</v>
      </c>
    </row>
    <row r="75" spans="1:2" x14ac:dyDescent="0.35">
      <c r="A75">
        <v>44362</v>
      </c>
      <c r="B75">
        <v>-2.992716566325325E-3</v>
      </c>
    </row>
    <row r="76" spans="1:2" x14ac:dyDescent="0.35">
      <c r="A76">
        <v>44363</v>
      </c>
      <c r="B76">
        <v>-6.0211398962323323E-3</v>
      </c>
    </row>
    <row r="77" spans="1:2" x14ac:dyDescent="0.35">
      <c r="A77">
        <v>44364</v>
      </c>
      <c r="B77">
        <v>-2.779547609826741E-3</v>
      </c>
    </row>
    <row r="78" spans="1:2" x14ac:dyDescent="0.35">
      <c r="A78">
        <v>44365</v>
      </c>
      <c r="B78">
        <v>-4.5576305355280334E-3</v>
      </c>
    </row>
    <row r="79" spans="1:2" x14ac:dyDescent="0.35">
      <c r="A79">
        <v>44368</v>
      </c>
      <c r="B79">
        <v>6.7246641312278584E-3</v>
      </c>
    </row>
    <row r="80" spans="1:2" x14ac:dyDescent="0.35">
      <c r="A80">
        <v>44369</v>
      </c>
      <c r="B80">
        <v>1.1285663854273E-3</v>
      </c>
    </row>
    <row r="81" spans="1:2" x14ac:dyDescent="0.35">
      <c r="A81">
        <v>44370</v>
      </c>
      <c r="B81">
        <v>-8.0115391479499982E-5</v>
      </c>
    </row>
    <row r="82" spans="1:2" x14ac:dyDescent="0.35">
      <c r="A82">
        <v>44371</v>
      </c>
      <c r="B82">
        <v>4.3659800899347248E-3</v>
      </c>
    </row>
    <row r="83" spans="1:2" x14ac:dyDescent="0.35">
      <c r="A83">
        <v>44372</v>
      </c>
      <c r="B83">
        <v>5.2513990189350821E-4</v>
      </c>
    </row>
    <row r="84" spans="1:2" x14ac:dyDescent="0.35">
      <c r="A84">
        <v>44375</v>
      </c>
      <c r="B84">
        <v>1.23751594876762E-3</v>
      </c>
    </row>
    <row r="85" spans="1:2" x14ac:dyDescent="0.35">
      <c r="A85">
        <v>44376</v>
      </c>
      <c r="B85">
        <v>-4.1166246672844152E-4</v>
      </c>
    </row>
    <row r="86" spans="1:2" x14ac:dyDescent="0.35">
      <c r="A86">
        <v>44377</v>
      </c>
      <c r="B86">
        <v>1.247327475157417E-4</v>
      </c>
    </row>
    <row r="87" spans="1:2" x14ac:dyDescent="0.35">
      <c r="A87">
        <v>44378</v>
      </c>
      <c r="B87">
        <v>1.945889915987343E-3</v>
      </c>
    </row>
    <row r="88" spans="1:2" x14ac:dyDescent="0.35">
      <c r="A88">
        <v>44379</v>
      </c>
      <c r="B88">
        <v>3.7456223919653908E-3</v>
      </c>
    </row>
    <row r="89" spans="1:2" x14ac:dyDescent="0.35">
      <c r="A89">
        <v>44383</v>
      </c>
      <c r="B89">
        <v>-2.5784972122279582E-3</v>
      </c>
    </row>
    <row r="90" spans="1:2" x14ac:dyDescent="0.35">
      <c r="A90">
        <v>44384</v>
      </c>
      <c r="B90">
        <v>9.4899047295430813E-4</v>
      </c>
    </row>
    <row r="91" spans="1:2" x14ac:dyDescent="0.35">
      <c r="A91">
        <v>44385</v>
      </c>
      <c r="B91">
        <v>-3.9300748971513666E-3</v>
      </c>
    </row>
    <row r="92" spans="1:2" x14ac:dyDescent="0.35">
      <c r="A92">
        <v>44386</v>
      </c>
      <c r="B92">
        <v>6.8429890404602912E-3</v>
      </c>
    </row>
    <row r="93" spans="1:2" x14ac:dyDescent="0.35">
      <c r="A93">
        <v>44389</v>
      </c>
      <c r="B93">
        <v>1.6462682126024749E-3</v>
      </c>
    </row>
    <row r="94" spans="1:2" x14ac:dyDescent="0.35">
      <c r="A94">
        <v>44390</v>
      </c>
      <c r="B94">
        <v>-4.0251832920323669E-3</v>
      </c>
    </row>
    <row r="95" spans="1:2" x14ac:dyDescent="0.35">
      <c r="A95">
        <v>44391</v>
      </c>
      <c r="B95">
        <v>2.0165649384277081E-3</v>
      </c>
    </row>
    <row r="96" spans="1:2" x14ac:dyDescent="0.35">
      <c r="A96">
        <v>44392</v>
      </c>
      <c r="B96">
        <v>-8.3072706171343315E-4</v>
      </c>
    </row>
    <row r="97" spans="1:2" x14ac:dyDescent="0.35">
      <c r="A97">
        <v>44393</v>
      </c>
      <c r="B97">
        <v>-4.8818385202093161E-3</v>
      </c>
    </row>
    <row r="98" spans="1:2" x14ac:dyDescent="0.35">
      <c r="A98">
        <v>44396</v>
      </c>
      <c r="B98">
        <v>-8.2450151100699406E-3</v>
      </c>
    </row>
    <row r="99" spans="1:2" x14ac:dyDescent="0.35">
      <c r="A99">
        <v>44397</v>
      </c>
      <c r="B99">
        <v>8.1098501025580992E-3</v>
      </c>
    </row>
    <row r="100" spans="1:2" x14ac:dyDescent="0.35">
      <c r="A100">
        <v>44398</v>
      </c>
      <c r="B100">
        <v>4.2737736621136146E-3</v>
      </c>
    </row>
    <row r="101" spans="1:2" x14ac:dyDescent="0.35">
      <c r="A101">
        <v>44399</v>
      </c>
      <c r="B101">
        <v>1.1242384041289749E-3</v>
      </c>
    </row>
    <row r="102" spans="1:2" x14ac:dyDescent="0.35">
      <c r="A102">
        <v>44400</v>
      </c>
      <c r="B102">
        <v>1.8731714922737E-3</v>
      </c>
    </row>
    <row r="103" spans="1:2" x14ac:dyDescent="0.35">
      <c r="A103">
        <v>44403</v>
      </c>
      <c r="B103">
        <v>-1.118432646070333E-3</v>
      </c>
    </row>
    <row r="104" spans="1:2" x14ac:dyDescent="0.35">
      <c r="A104">
        <v>44404</v>
      </c>
      <c r="B104">
        <v>-2.665774360108333E-3</v>
      </c>
    </row>
    <row r="105" spans="1:2" x14ac:dyDescent="0.35">
      <c r="A105">
        <v>44405</v>
      </c>
      <c r="B105">
        <v>4.9439725693482756E-3</v>
      </c>
    </row>
    <row r="106" spans="1:2" x14ac:dyDescent="0.35">
      <c r="A106">
        <v>44406</v>
      </c>
      <c r="B106">
        <v>3.767341946865092E-3</v>
      </c>
    </row>
    <row r="107" spans="1:2" x14ac:dyDescent="0.35">
      <c r="A107">
        <v>44407</v>
      </c>
      <c r="B107">
        <v>-3.051666907443816E-3</v>
      </c>
    </row>
    <row r="108" spans="1:2" x14ac:dyDescent="0.35">
      <c r="A108">
        <v>44410</v>
      </c>
      <c r="B108">
        <v>3.9692469409347339E-4</v>
      </c>
    </row>
    <row r="109" spans="1:2" x14ac:dyDescent="0.35">
      <c r="A109">
        <v>44411</v>
      </c>
      <c r="B109">
        <v>2.376008712924333E-3</v>
      </c>
    </row>
    <row r="110" spans="1:2" x14ac:dyDescent="0.35">
      <c r="A110">
        <v>44412</v>
      </c>
      <c r="B110">
        <v>-2.713243575673516E-3</v>
      </c>
    </row>
    <row r="111" spans="1:2" x14ac:dyDescent="0.35">
      <c r="A111">
        <v>44413</v>
      </c>
      <c r="B111">
        <v>3.8346524742516159E-3</v>
      </c>
    </row>
    <row r="112" spans="1:2" x14ac:dyDescent="0.35">
      <c r="A112">
        <v>44414</v>
      </c>
      <c r="B112">
        <v>-6.3098783605744571E-3</v>
      </c>
    </row>
    <row r="113" spans="1:2" x14ac:dyDescent="0.35">
      <c r="A113">
        <v>44417</v>
      </c>
      <c r="B113">
        <v>-4.2739594760865416E-3</v>
      </c>
    </row>
    <row r="114" spans="1:2" x14ac:dyDescent="0.35">
      <c r="A114">
        <v>44418</v>
      </c>
      <c r="B114">
        <v>-3.2848729390399893E-5</v>
      </c>
    </row>
    <row r="115" spans="1:2" x14ac:dyDescent="0.35">
      <c r="A115">
        <v>44419</v>
      </c>
      <c r="B115">
        <v>3.9538113713152752E-3</v>
      </c>
    </row>
    <row r="116" spans="1:2" x14ac:dyDescent="0.35">
      <c r="A116">
        <v>44420</v>
      </c>
      <c r="B116">
        <v>-5.1437123391990017E-4</v>
      </c>
    </row>
    <row r="117" spans="1:2" x14ac:dyDescent="0.35">
      <c r="A117">
        <v>44421</v>
      </c>
      <c r="B117">
        <v>3.688472286925842E-3</v>
      </c>
    </row>
    <row r="118" spans="1:2" x14ac:dyDescent="0.35">
      <c r="A118">
        <v>44424</v>
      </c>
      <c r="B118">
        <v>-1.1705273790622501E-3</v>
      </c>
    </row>
    <row r="119" spans="1:2" x14ac:dyDescent="0.35">
      <c r="A119">
        <v>44425</v>
      </c>
      <c r="B119">
        <v>-6.1511554831753003E-3</v>
      </c>
    </row>
    <row r="120" spans="1:2" x14ac:dyDescent="0.35">
      <c r="A120">
        <v>44426</v>
      </c>
      <c r="B120">
        <v>-4.3092177288902248E-3</v>
      </c>
    </row>
    <row r="121" spans="1:2" x14ac:dyDescent="0.35">
      <c r="A121">
        <v>44427</v>
      </c>
      <c r="B121">
        <v>-2.7391881058875418E-3</v>
      </c>
    </row>
    <row r="122" spans="1:2" x14ac:dyDescent="0.35">
      <c r="A122">
        <v>44428</v>
      </c>
      <c r="B122">
        <v>1.9335284102920251E-3</v>
      </c>
    </row>
    <row r="123" spans="1:2" x14ac:dyDescent="0.35">
      <c r="A123">
        <v>44431</v>
      </c>
      <c r="B123">
        <v>9.7733421812344397E-3</v>
      </c>
    </row>
    <row r="124" spans="1:2" x14ac:dyDescent="0.35">
      <c r="A124">
        <v>44432</v>
      </c>
      <c r="B124">
        <v>3.666393514641291E-3</v>
      </c>
    </row>
    <row r="125" spans="1:2" x14ac:dyDescent="0.35">
      <c r="A125">
        <v>44433</v>
      </c>
      <c r="B125">
        <v>-3.4284177633558331E-4</v>
      </c>
    </row>
    <row r="126" spans="1:2" x14ac:dyDescent="0.35">
      <c r="A126">
        <v>44434</v>
      </c>
      <c r="B126">
        <v>-3.503278862432675E-3</v>
      </c>
    </row>
    <row r="127" spans="1:2" x14ac:dyDescent="0.35">
      <c r="A127">
        <v>44435</v>
      </c>
      <c r="B127">
        <v>1.0407382257065259E-2</v>
      </c>
    </row>
    <row r="128" spans="1:2" x14ac:dyDescent="0.35">
      <c r="A128">
        <v>44438</v>
      </c>
      <c r="B128">
        <v>2.4690310804411329E-3</v>
      </c>
    </row>
    <row r="129" spans="1:2" x14ac:dyDescent="0.35">
      <c r="A129">
        <v>44439</v>
      </c>
      <c r="B129">
        <v>3.5076601945372479E-4</v>
      </c>
    </row>
    <row r="130" spans="1:2" x14ac:dyDescent="0.35">
      <c r="A130">
        <v>44440</v>
      </c>
      <c r="B130">
        <v>3.8658393874626659E-3</v>
      </c>
    </row>
    <row r="131" spans="1:2" x14ac:dyDescent="0.35">
      <c r="A131">
        <v>44441</v>
      </c>
      <c r="B131">
        <v>2.6501373286414581E-3</v>
      </c>
    </row>
    <row r="132" spans="1:2" x14ac:dyDescent="0.35">
      <c r="A132">
        <v>44442</v>
      </c>
      <c r="B132">
        <v>4.1307635631634168E-4</v>
      </c>
    </row>
    <row r="133" spans="1:2" x14ac:dyDescent="0.35">
      <c r="A133">
        <v>44446</v>
      </c>
      <c r="B133">
        <v>-5.369688312892874E-3</v>
      </c>
    </row>
    <row r="134" spans="1:2" x14ac:dyDescent="0.35">
      <c r="A134">
        <v>44447</v>
      </c>
      <c r="B134">
        <v>-1.1994951076170499E-3</v>
      </c>
    </row>
    <row r="135" spans="1:2" x14ac:dyDescent="0.35">
      <c r="A135">
        <v>44448</v>
      </c>
      <c r="B135">
        <v>-1.053077655843417E-3</v>
      </c>
    </row>
    <row r="136" spans="1:2" x14ac:dyDescent="0.35">
      <c r="A136">
        <v>44449</v>
      </c>
      <c r="B136">
        <v>-4.2957941997448668E-3</v>
      </c>
    </row>
    <row r="137" spans="1:2" x14ac:dyDescent="0.35">
      <c r="A137">
        <v>44452</v>
      </c>
      <c r="B137">
        <v>4.0149012689947999E-3</v>
      </c>
    </row>
    <row r="138" spans="1:2" x14ac:dyDescent="0.35">
      <c r="A138">
        <v>44453</v>
      </c>
      <c r="B138">
        <v>-9.0763999131250812E-4</v>
      </c>
    </row>
    <row r="139" spans="1:2" x14ac:dyDescent="0.35">
      <c r="A139">
        <v>44454</v>
      </c>
      <c r="B139">
        <v>3.033443111813975E-3</v>
      </c>
    </row>
    <row r="140" spans="1:2" x14ac:dyDescent="0.35">
      <c r="A140">
        <v>44455</v>
      </c>
      <c r="B140">
        <v>-4.2849813471760754E-3</v>
      </c>
    </row>
    <row r="141" spans="1:2" x14ac:dyDescent="0.35">
      <c r="A141">
        <v>44456</v>
      </c>
      <c r="B141">
        <v>-5.6242173322630581E-3</v>
      </c>
    </row>
    <row r="142" spans="1:2" x14ac:dyDescent="0.35">
      <c r="A142">
        <v>44459</v>
      </c>
      <c r="B142">
        <v>-8.3490878752344906E-3</v>
      </c>
    </row>
    <row r="143" spans="1:2" x14ac:dyDescent="0.35">
      <c r="A143">
        <v>44460</v>
      </c>
      <c r="B143">
        <v>2.286300284763774E-3</v>
      </c>
    </row>
    <row r="144" spans="1:2" x14ac:dyDescent="0.35">
      <c r="A144">
        <v>44461</v>
      </c>
      <c r="B144">
        <v>6.7564399172937084E-3</v>
      </c>
    </row>
    <row r="145" spans="1:2" x14ac:dyDescent="0.35">
      <c r="A145">
        <v>44462</v>
      </c>
      <c r="B145">
        <v>1.793532957241267E-3</v>
      </c>
    </row>
    <row r="146" spans="1:2" x14ac:dyDescent="0.35">
      <c r="A146">
        <v>44463</v>
      </c>
      <c r="B146">
        <v>-3.9443985297916749E-3</v>
      </c>
    </row>
    <row r="147" spans="1:2" x14ac:dyDescent="0.35">
      <c r="A147">
        <v>44466</v>
      </c>
      <c r="B147">
        <v>3.8616076113338329E-4</v>
      </c>
    </row>
    <row r="148" spans="1:2" x14ac:dyDescent="0.35">
      <c r="A148">
        <v>44467</v>
      </c>
      <c r="B148">
        <v>-1.374537265459955E-2</v>
      </c>
    </row>
    <row r="149" spans="1:2" x14ac:dyDescent="0.35">
      <c r="A149">
        <v>44468</v>
      </c>
      <c r="B149">
        <v>-4.4297151785163322E-4</v>
      </c>
    </row>
    <row r="150" spans="1:2" x14ac:dyDescent="0.35">
      <c r="A150">
        <v>44469</v>
      </c>
      <c r="B150">
        <v>-1.331301396299258E-3</v>
      </c>
    </row>
    <row r="151" spans="1:2" x14ac:dyDescent="0.35">
      <c r="A151">
        <v>44470</v>
      </c>
      <c r="B151">
        <v>7.3007448869636341E-3</v>
      </c>
    </row>
    <row r="152" spans="1:2" x14ac:dyDescent="0.35">
      <c r="A152">
        <v>44473</v>
      </c>
      <c r="B152">
        <v>-4.6751575512456577E-3</v>
      </c>
    </row>
    <row r="153" spans="1:2" x14ac:dyDescent="0.35">
      <c r="A153">
        <v>44474</v>
      </c>
      <c r="B153">
        <v>2.0739714942808671E-3</v>
      </c>
    </row>
    <row r="154" spans="1:2" x14ac:dyDescent="0.35">
      <c r="A154">
        <v>44475</v>
      </c>
      <c r="B154">
        <v>-4.7457270334094141E-4</v>
      </c>
    </row>
    <row r="155" spans="1:2" x14ac:dyDescent="0.35">
      <c r="A155">
        <v>44476</v>
      </c>
      <c r="B155">
        <v>4.3126275911746E-3</v>
      </c>
    </row>
    <row r="156" spans="1:2" x14ac:dyDescent="0.35">
      <c r="A156">
        <v>44477</v>
      </c>
      <c r="B156">
        <v>-2.7632896455611752E-3</v>
      </c>
    </row>
    <row r="157" spans="1:2" x14ac:dyDescent="0.35">
      <c r="A157">
        <v>44480</v>
      </c>
      <c r="B157">
        <v>-2.3755213653065079E-3</v>
      </c>
    </row>
    <row r="158" spans="1:2" x14ac:dyDescent="0.35">
      <c r="A158">
        <v>44481</v>
      </c>
      <c r="B158">
        <v>3.5361754012132908E-3</v>
      </c>
    </row>
    <row r="159" spans="1:2" x14ac:dyDescent="0.35">
      <c r="A159">
        <v>44482</v>
      </c>
      <c r="B159">
        <v>7.5185145107489991E-3</v>
      </c>
    </row>
    <row r="160" spans="1:2" x14ac:dyDescent="0.35">
      <c r="A160">
        <v>44483</v>
      </c>
      <c r="B160">
        <v>8.709696824498965E-3</v>
      </c>
    </row>
    <row r="161" spans="1:2" x14ac:dyDescent="0.35">
      <c r="A161">
        <v>44484</v>
      </c>
      <c r="B161">
        <v>5.6834486104197484E-4</v>
      </c>
    </row>
    <row r="162" spans="1:2" x14ac:dyDescent="0.35">
      <c r="A162">
        <v>44487</v>
      </c>
      <c r="B162">
        <v>1.461660105189502E-4</v>
      </c>
    </row>
    <row r="163" spans="1:2" x14ac:dyDescent="0.35">
      <c r="A163">
        <v>44488</v>
      </c>
      <c r="B163">
        <v>1.849216706132992E-3</v>
      </c>
    </row>
    <row r="164" spans="1:2" x14ac:dyDescent="0.35">
      <c r="A164">
        <v>44489</v>
      </c>
      <c r="B164">
        <v>3.24380258251715E-3</v>
      </c>
    </row>
    <row r="165" spans="1:2" x14ac:dyDescent="0.35">
      <c r="A165">
        <v>44490</v>
      </c>
      <c r="B165">
        <v>-1.9188660320925001E-3</v>
      </c>
    </row>
    <row r="166" spans="1:2" x14ac:dyDescent="0.35">
      <c r="A166">
        <v>44491</v>
      </c>
      <c r="B166">
        <v>1.893316986104641E-3</v>
      </c>
    </row>
    <row r="167" spans="1:2" x14ac:dyDescent="0.35">
      <c r="A167">
        <v>44494</v>
      </c>
      <c r="B167">
        <v>3.7830040434061328E-3</v>
      </c>
    </row>
    <row r="168" spans="1:2" x14ac:dyDescent="0.35">
      <c r="A168">
        <v>44495</v>
      </c>
      <c r="B168">
        <v>3.4169356384259171E-4</v>
      </c>
    </row>
    <row r="169" spans="1:2" x14ac:dyDescent="0.35">
      <c r="A169">
        <v>44496</v>
      </c>
      <c r="B169">
        <v>-2.308770195445049E-3</v>
      </c>
    </row>
    <row r="170" spans="1:2" x14ac:dyDescent="0.35">
      <c r="A170">
        <v>44497</v>
      </c>
      <c r="B170">
        <v>5.4435257250122337E-3</v>
      </c>
    </row>
    <row r="171" spans="1:2" x14ac:dyDescent="0.35">
      <c r="A171">
        <v>44498</v>
      </c>
      <c r="B171">
        <v>-3.181951956668874E-3</v>
      </c>
    </row>
    <row r="172" spans="1:2" x14ac:dyDescent="0.35">
      <c r="A172">
        <v>44501</v>
      </c>
      <c r="B172">
        <v>4.6773430930908411E-3</v>
      </c>
    </row>
    <row r="173" spans="1:2" x14ac:dyDescent="0.35">
      <c r="A173">
        <v>44502</v>
      </c>
      <c r="B173">
        <v>1.482908960203741E-3</v>
      </c>
    </row>
    <row r="174" spans="1:2" x14ac:dyDescent="0.35">
      <c r="A174">
        <v>44503</v>
      </c>
      <c r="B174">
        <v>2.449456901342077E-4</v>
      </c>
    </row>
    <row r="175" spans="1:2" x14ac:dyDescent="0.35">
      <c r="A175">
        <v>44504</v>
      </c>
      <c r="B175">
        <v>2.8062643052950169E-3</v>
      </c>
    </row>
    <row r="176" spans="1:2" x14ac:dyDescent="0.35">
      <c r="A176">
        <v>44505</v>
      </c>
      <c r="B176">
        <v>6.8318706011176907E-3</v>
      </c>
    </row>
    <row r="177" spans="1:2" x14ac:dyDescent="0.35">
      <c r="A177">
        <v>44508</v>
      </c>
      <c r="B177">
        <v>9.054694314767416E-4</v>
      </c>
    </row>
    <row r="178" spans="1:2" x14ac:dyDescent="0.35">
      <c r="A178">
        <v>44509</v>
      </c>
      <c r="B178">
        <v>1.1364683419899249E-3</v>
      </c>
    </row>
    <row r="179" spans="1:2" x14ac:dyDescent="0.35">
      <c r="A179">
        <v>44510</v>
      </c>
      <c r="B179">
        <v>-8.6452765727511992E-3</v>
      </c>
    </row>
    <row r="180" spans="1:2" x14ac:dyDescent="0.35">
      <c r="A180">
        <v>44511</v>
      </c>
      <c r="B180">
        <v>3.0865090008049909E-3</v>
      </c>
    </row>
    <row r="181" spans="1:2" x14ac:dyDescent="0.35">
      <c r="A181">
        <v>44512</v>
      </c>
      <c r="B181">
        <v>1.997448508115908E-3</v>
      </c>
    </row>
    <row r="182" spans="1:2" x14ac:dyDescent="0.35">
      <c r="A182">
        <v>44515</v>
      </c>
      <c r="B182">
        <v>-2.3543128806513252E-3</v>
      </c>
    </row>
    <row r="183" spans="1:2" x14ac:dyDescent="0.35">
      <c r="A183">
        <v>44516</v>
      </c>
      <c r="B183">
        <v>-6.513934425512334E-4</v>
      </c>
    </row>
    <row r="184" spans="1:2" x14ac:dyDescent="0.35">
      <c r="A184">
        <v>44517</v>
      </c>
      <c r="B184">
        <v>-3.0065282765914168E-4</v>
      </c>
    </row>
    <row r="185" spans="1:2" x14ac:dyDescent="0.35">
      <c r="A185">
        <v>44518</v>
      </c>
      <c r="B185">
        <v>3.6866744277728341E-4</v>
      </c>
    </row>
    <row r="186" spans="1:2" x14ac:dyDescent="0.35">
      <c r="A186">
        <v>44519</v>
      </c>
      <c r="B186">
        <v>-2.398277405658658E-3</v>
      </c>
    </row>
    <row r="187" spans="1:2" x14ac:dyDescent="0.35">
      <c r="A187">
        <v>44522</v>
      </c>
      <c r="B187">
        <v>-7.0260520773864094E-3</v>
      </c>
    </row>
    <row r="188" spans="1:2" x14ac:dyDescent="0.35">
      <c r="A188">
        <v>44523</v>
      </c>
      <c r="B188">
        <v>-1.3768673195674081E-3</v>
      </c>
    </row>
    <row r="189" spans="1:2" x14ac:dyDescent="0.35">
      <c r="A189">
        <v>44524</v>
      </c>
      <c r="B189">
        <v>2.5063479457967329E-3</v>
      </c>
    </row>
    <row r="190" spans="1:2" x14ac:dyDescent="0.35">
      <c r="A190">
        <v>44526</v>
      </c>
      <c r="B190">
        <v>-1.577695311560344E-2</v>
      </c>
    </row>
    <row r="191" spans="1:2" x14ac:dyDescent="0.35">
      <c r="A191">
        <v>44529</v>
      </c>
      <c r="B191">
        <v>3.7429796469992832E-3</v>
      </c>
    </row>
    <row r="192" spans="1:2" x14ac:dyDescent="0.35">
      <c r="A192">
        <v>44530</v>
      </c>
      <c r="B192">
        <v>-8.1870629736116238E-3</v>
      </c>
    </row>
    <row r="193" spans="1:2" x14ac:dyDescent="0.35">
      <c r="A193">
        <v>44531</v>
      </c>
      <c r="B193">
        <v>-5.4630637591215831E-3</v>
      </c>
    </row>
    <row r="194" spans="1:2" x14ac:dyDescent="0.35">
      <c r="A194">
        <v>44532</v>
      </c>
      <c r="B194">
        <v>9.7644715724528406E-3</v>
      </c>
    </row>
    <row r="195" spans="1:2" x14ac:dyDescent="0.35">
      <c r="A195">
        <v>44533</v>
      </c>
      <c r="B195">
        <v>-2.717134934788984E-3</v>
      </c>
    </row>
    <row r="196" spans="1:2" x14ac:dyDescent="0.35">
      <c r="A196">
        <v>44536</v>
      </c>
      <c r="B196">
        <v>5.8709466709278083E-3</v>
      </c>
    </row>
    <row r="197" spans="1:2" x14ac:dyDescent="0.35">
      <c r="A197">
        <v>44537</v>
      </c>
      <c r="B197">
        <v>1.148955066760687E-2</v>
      </c>
    </row>
    <row r="198" spans="1:2" x14ac:dyDescent="0.35">
      <c r="A198">
        <v>44538</v>
      </c>
      <c r="B198">
        <v>1.132279050196108E-3</v>
      </c>
    </row>
    <row r="199" spans="1:2" x14ac:dyDescent="0.35">
      <c r="A199">
        <v>44539</v>
      </c>
      <c r="B199">
        <v>-7.5122447142212823E-3</v>
      </c>
    </row>
    <row r="200" spans="1:2" x14ac:dyDescent="0.35">
      <c r="A200">
        <v>44540</v>
      </c>
      <c r="B200">
        <v>3.4116996220112999E-3</v>
      </c>
    </row>
    <row r="201" spans="1:2" x14ac:dyDescent="0.35">
      <c r="A201">
        <v>44543</v>
      </c>
      <c r="B201">
        <v>-2.6739155260814161E-3</v>
      </c>
    </row>
    <row r="202" spans="1:2" x14ac:dyDescent="0.35">
      <c r="A202">
        <v>44544</v>
      </c>
      <c r="B202">
        <v>-6.2331122767283736E-3</v>
      </c>
    </row>
    <row r="203" spans="1:2" x14ac:dyDescent="0.35">
      <c r="A203">
        <v>44545</v>
      </c>
      <c r="B203">
        <v>6.8598087753199413E-3</v>
      </c>
    </row>
    <row r="204" spans="1:2" x14ac:dyDescent="0.35">
      <c r="A204">
        <v>44546</v>
      </c>
      <c r="B204">
        <v>-2.7633348296315489E-3</v>
      </c>
    </row>
    <row r="205" spans="1:2" x14ac:dyDescent="0.35">
      <c r="A205">
        <v>44547</v>
      </c>
      <c r="B205">
        <v>-2.0220028101334418E-3</v>
      </c>
    </row>
    <row r="206" spans="1:2" x14ac:dyDescent="0.35">
      <c r="A206">
        <v>44550</v>
      </c>
      <c r="B206">
        <v>-7.083100499920808E-3</v>
      </c>
    </row>
    <row r="207" spans="1:2" x14ac:dyDescent="0.35">
      <c r="A207">
        <v>44551</v>
      </c>
      <c r="B207">
        <v>1.068164258235051E-2</v>
      </c>
    </row>
    <row r="208" spans="1:2" x14ac:dyDescent="0.35">
      <c r="A208">
        <v>44552</v>
      </c>
      <c r="B208">
        <v>7.2641620883225587E-3</v>
      </c>
    </row>
    <row r="209" spans="1:2" x14ac:dyDescent="0.35">
      <c r="A209">
        <v>44553</v>
      </c>
      <c r="B209">
        <v>2.4972968657587672E-3</v>
      </c>
    </row>
    <row r="210" spans="1:2" x14ac:dyDescent="0.35">
      <c r="A210">
        <v>44557</v>
      </c>
      <c r="B210">
        <v>7.5835748530907656E-3</v>
      </c>
    </row>
    <row r="211" spans="1:2" x14ac:dyDescent="0.35">
      <c r="A211">
        <v>44558</v>
      </c>
      <c r="B211">
        <v>-1.905374719076433E-3</v>
      </c>
    </row>
    <row r="212" spans="1:2" x14ac:dyDescent="0.35">
      <c r="A212">
        <v>44559</v>
      </c>
      <c r="B212">
        <v>-1.2163668396929421E-3</v>
      </c>
    </row>
    <row r="213" spans="1:2" x14ac:dyDescent="0.35">
      <c r="A213">
        <v>44560</v>
      </c>
      <c r="B213">
        <v>2.067579200331533E-3</v>
      </c>
    </row>
    <row r="214" spans="1:2" x14ac:dyDescent="0.35">
      <c r="A214">
        <v>44561</v>
      </c>
      <c r="B214">
        <v>-1.065960262676875E-3</v>
      </c>
    </row>
    <row r="215" spans="1:2" x14ac:dyDescent="0.35">
      <c r="A215">
        <v>44564</v>
      </c>
      <c r="B215">
        <v>-2.0056359722091751E-3</v>
      </c>
    </row>
    <row r="216" spans="1:2" x14ac:dyDescent="0.35">
      <c r="A216">
        <v>44565</v>
      </c>
      <c r="B216">
        <v>-6.9000373654908281E-5</v>
      </c>
    </row>
    <row r="217" spans="1:2" x14ac:dyDescent="0.35">
      <c r="A217">
        <v>44566</v>
      </c>
      <c r="B217">
        <v>-1.4001927774399819E-2</v>
      </c>
    </row>
    <row r="218" spans="1:2" x14ac:dyDescent="0.35">
      <c r="A218">
        <v>44567</v>
      </c>
      <c r="B218">
        <v>-2.4671878071950041E-5</v>
      </c>
    </row>
    <row r="219" spans="1:2" x14ac:dyDescent="0.35">
      <c r="A219">
        <v>44568</v>
      </c>
      <c r="B219">
        <v>-2.6538200784513499E-3</v>
      </c>
    </row>
    <row r="220" spans="1:2" x14ac:dyDescent="0.35">
      <c r="A220">
        <v>44571</v>
      </c>
      <c r="B220">
        <v>-1.516789828825375E-3</v>
      </c>
    </row>
    <row r="221" spans="1:2" x14ac:dyDescent="0.35">
      <c r="A221">
        <v>44572</v>
      </c>
      <c r="B221">
        <v>9.8734261623262907E-3</v>
      </c>
    </row>
    <row r="222" spans="1:2" x14ac:dyDescent="0.35">
      <c r="A222">
        <v>44573</v>
      </c>
      <c r="B222">
        <v>2.8796854451571502E-3</v>
      </c>
    </row>
    <row r="223" spans="1:2" x14ac:dyDescent="0.35">
      <c r="A223">
        <v>44574</v>
      </c>
      <c r="B223">
        <v>-6.1443651038967746E-3</v>
      </c>
    </row>
    <row r="224" spans="1:2" x14ac:dyDescent="0.35">
      <c r="A224">
        <v>44575</v>
      </c>
      <c r="B224">
        <v>-2.0024638488460329E-3</v>
      </c>
    </row>
    <row r="225" spans="1:2" x14ac:dyDescent="0.35">
      <c r="A225">
        <v>44579</v>
      </c>
      <c r="B225">
        <v>-1.2138444127229069E-2</v>
      </c>
    </row>
    <row r="226" spans="1:2" x14ac:dyDescent="0.35">
      <c r="A226">
        <v>44580</v>
      </c>
      <c r="B226">
        <v>-1.3687839150564581E-3</v>
      </c>
    </row>
    <row r="227" spans="1:2" x14ac:dyDescent="0.35">
      <c r="A227">
        <v>44581</v>
      </c>
      <c r="B227">
        <v>-4.5185665389676924E-3</v>
      </c>
    </row>
    <row r="228" spans="1:2" x14ac:dyDescent="0.35">
      <c r="A228">
        <v>44582</v>
      </c>
      <c r="B228">
        <v>-6.2150963789530996E-3</v>
      </c>
    </row>
    <row r="229" spans="1:2" x14ac:dyDescent="0.35">
      <c r="A229">
        <v>44585</v>
      </c>
      <c r="B229">
        <v>-2.504797424831645E-5</v>
      </c>
    </row>
    <row r="230" spans="1:2" x14ac:dyDescent="0.35">
      <c r="A230">
        <v>44586</v>
      </c>
      <c r="B230">
        <v>-4.7534015103089574E-3</v>
      </c>
    </row>
    <row r="231" spans="1:2" x14ac:dyDescent="0.35">
      <c r="A231">
        <v>44587</v>
      </c>
      <c r="B231">
        <v>-7.8283240086609741E-3</v>
      </c>
    </row>
    <row r="232" spans="1:2" x14ac:dyDescent="0.35">
      <c r="A232">
        <v>44588</v>
      </c>
      <c r="B232">
        <v>-4.8293217438624501E-3</v>
      </c>
    </row>
    <row r="233" spans="1:2" x14ac:dyDescent="0.35">
      <c r="A233">
        <v>44589</v>
      </c>
      <c r="B233">
        <v>1.006698502999487E-2</v>
      </c>
    </row>
    <row r="234" spans="1:2" x14ac:dyDescent="0.35">
      <c r="A234">
        <v>44592</v>
      </c>
      <c r="B234">
        <v>1.2113610411427221E-2</v>
      </c>
    </row>
    <row r="235" spans="1:2" x14ac:dyDescent="0.35">
      <c r="A235">
        <v>44593</v>
      </c>
      <c r="B235">
        <v>3.4971258327841661E-3</v>
      </c>
    </row>
    <row r="236" spans="1:2" x14ac:dyDescent="0.35">
      <c r="A236">
        <v>44594</v>
      </c>
      <c r="B236">
        <v>3.429179655660519E-3</v>
      </c>
    </row>
    <row r="237" spans="1:2" x14ac:dyDescent="0.35">
      <c r="A237">
        <v>44595</v>
      </c>
      <c r="B237">
        <v>-1.236051610720652E-2</v>
      </c>
    </row>
    <row r="238" spans="1:2" x14ac:dyDescent="0.35">
      <c r="A238">
        <v>44596</v>
      </c>
      <c r="B238">
        <v>-8.5252856972019145E-4</v>
      </c>
    </row>
    <row r="239" spans="1:2" x14ac:dyDescent="0.35">
      <c r="A239">
        <v>44599</v>
      </c>
      <c r="B239">
        <v>2.949664755177168E-4</v>
      </c>
    </row>
    <row r="240" spans="1:2" x14ac:dyDescent="0.35">
      <c r="A240">
        <v>44600</v>
      </c>
      <c r="B240">
        <v>2.1849726528639589E-3</v>
      </c>
    </row>
    <row r="241" spans="1:2" x14ac:dyDescent="0.35">
      <c r="A241">
        <v>44601</v>
      </c>
      <c r="B241">
        <v>1.1225847281065531E-2</v>
      </c>
    </row>
    <row r="242" spans="1:2" x14ac:dyDescent="0.35">
      <c r="A242">
        <v>44602</v>
      </c>
      <c r="B242">
        <v>-1.331889644300796E-2</v>
      </c>
    </row>
    <row r="243" spans="1:2" x14ac:dyDescent="0.35">
      <c r="A243">
        <v>44603</v>
      </c>
      <c r="B243">
        <v>-3.1537274890718831E-3</v>
      </c>
    </row>
    <row r="244" spans="1:2" x14ac:dyDescent="0.35">
      <c r="A244">
        <v>44606</v>
      </c>
      <c r="B244">
        <v>-3.956597252663575E-3</v>
      </c>
    </row>
    <row r="245" spans="1:2" x14ac:dyDescent="0.35">
      <c r="A245">
        <v>44607</v>
      </c>
      <c r="B245">
        <v>6.1122172231325E-3</v>
      </c>
    </row>
    <row r="246" spans="1:2" x14ac:dyDescent="0.35">
      <c r="A246">
        <v>44608</v>
      </c>
      <c r="B246">
        <v>3.776263476234467E-3</v>
      </c>
    </row>
    <row r="247" spans="1:2" x14ac:dyDescent="0.35">
      <c r="A247">
        <v>44609</v>
      </c>
      <c r="B247">
        <v>-6.9866014152801578E-3</v>
      </c>
    </row>
    <row r="248" spans="1:2" x14ac:dyDescent="0.35">
      <c r="A248">
        <v>44610</v>
      </c>
      <c r="B248">
        <v>-2.157326375061633E-3</v>
      </c>
    </row>
    <row r="249" spans="1:2" x14ac:dyDescent="0.35">
      <c r="A249">
        <v>44614</v>
      </c>
      <c r="B249">
        <v>-4.090410540665607E-3</v>
      </c>
    </row>
    <row r="250" spans="1:2" x14ac:dyDescent="0.35">
      <c r="A250">
        <v>44615</v>
      </c>
      <c r="B250">
        <v>-9.5386911622163915E-3</v>
      </c>
    </row>
    <row r="251" spans="1:2" x14ac:dyDescent="0.35">
      <c r="A251">
        <v>44616</v>
      </c>
      <c r="B251">
        <v>5.856821151301342E-3</v>
      </c>
    </row>
    <row r="252" spans="1:2" x14ac:dyDescent="0.35">
      <c r="A252">
        <v>44617</v>
      </c>
      <c r="B252">
        <v>9.952447716125374E-3</v>
      </c>
    </row>
    <row r="253" spans="1:2" x14ac:dyDescent="0.35">
      <c r="A253">
        <v>44620</v>
      </c>
      <c r="B253">
        <v>2.4633367184075171E-3</v>
      </c>
    </row>
    <row r="254" spans="1:2" x14ac:dyDescent="0.35">
      <c r="A254">
        <v>44621</v>
      </c>
      <c r="B254">
        <v>-7.8796066086897531E-4</v>
      </c>
    </row>
    <row r="255" spans="1:2" x14ac:dyDescent="0.35">
      <c r="A255">
        <v>44622</v>
      </c>
      <c r="B255">
        <v>4.3515031245387661E-3</v>
      </c>
    </row>
    <row r="256" spans="1:2" x14ac:dyDescent="0.35">
      <c r="A256">
        <v>44623</v>
      </c>
      <c r="B256">
        <v>-2.0582622752728669E-3</v>
      </c>
    </row>
    <row r="257" spans="1:2" x14ac:dyDescent="0.35">
      <c r="A257">
        <v>44624</v>
      </c>
      <c r="B257">
        <v>-2.6949563325291638E-4</v>
      </c>
    </row>
    <row r="258" spans="1:2" x14ac:dyDescent="0.35">
      <c r="A258">
        <v>44627</v>
      </c>
      <c r="B258">
        <v>-1.4680759987928589E-2</v>
      </c>
    </row>
    <row r="259" spans="1:2" x14ac:dyDescent="0.35">
      <c r="A259">
        <v>44628</v>
      </c>
      <c r="B259">
        <v>1.5585903934471001E-3</v>
      </c>
    </row>
    <row r="260" spans="1:2" x14ac:dyDescent="0.35">
      <c r="A260">
        <v>44629</v>
      </c>
      <c r="B260">
        <v>5.1222652267510754E-3</v>
      </c>
    </row>
    <row r="261" spans="1:2" x14ac:dyDescent="0.35">
      <c r="A261">
        <v>44630</v>
      </c>
      <c r="B261">
        <v>-7.7724953609662403E-3</v>
      </c>
    </row>
    <row r="262" spans="1:2" x14ac:dyDescent="0.35">
      <c r="A262">
        <v>44631</v>
      </c>
      <c r="B262">
        <v>-6.9549599774975501E-3</v>
      </c>
    </row>
    <row r="263" spans="1:2" x14ac:dyDescent="0.35">
      <c r="A263">
        <v>44634</v>
      </c>
      <c r="B263">
        <v>-1.4705717204781711E-2</v>
      </c>
    </row>
    <row r="264" spans="1:2" x14ac:dyDescent="0.35">
      <c r="A264">
        <v>44635</v>
      </c>
      <c r="B264">
        <v>4.7349021495007252E-3</v>
      </c>
    </row>
    <row r="265" spans="1:2" x14ac:dyDescent="0.35">
      <c r="A265">
        <v>44636</v>
      </c>
      <c r="B265">
        <v>2.0645250687607902E-2</v>
      </c>
    </row>
    <row r="266" spans="1:2" x14ac:dyDescent="0.35">
      <c r="A266">
        <v>44637</v>
      </c>
      <c r="B266">
        <v>9.9360796898956497E-3</v>
      </c>
    </row>
    <row r="267" spans="1:2" x14ac:dyDescent="0.35">
      <c r="A267">
        <v>44638</v>
      </c>
      <c r="B267">
        <v>6.8582279600177083E-3</v>
      </c>
    </row>
    <row r="268" spans="1:2" x14ac:dyDescent="0.35">
      <c r="A268">
        <v>44641</v>
      </c>
      <c r="B268">
        <v>-4.6832790650880333E-3</v>
      </c>
    </row>
    <row r="269" spans="1:2" x14ac:dyDescent="0.35">
      <c r="A269">
        <v>44642</v>
      </c>
      <c r="B269">
        <v>3.8683806972278829E-3</v>
      </c>
    </row>
    <row r="270" spans="1:2" x14ac:dyDescent="0.35">
      <c r="A270">
        <v>44643</v>
      </c>
      <c r="B270">
        <v>-7.1524947968780786E-4</v>
      </c>
    </row>
    <row r="271" spans="1:2" x14ac:dyDescent="0.35">
      <c r="A271">
        <v>44644</v>
      </c>
      <c r="B271">
        <v>4.6828802875904744E-3</v>
      </c>
    </row>
    <row r="272" spans="1:2" x14ac:dyDescent="0.35">
      <c r="A272">
        <v>44645</v>
      </c>
      <c r="B272">
        <v>-2.1172754220888752E-3</v>
      </c>
    </row>
    <row r="273" spans="1:2" x14ac:dyDescent="0.35">
      <c r="A273">
        <v>44648</v>
      </c>
      <c r="B273">
        <v>-4.496189568030497E-4</v>
      </c>
    </row>
    <row r="274" spans="1:2" x14ac:dyDescent="0.35">
      <c r="A274">
        <v>44649</v>
      </c>
      <c r="B274">
        <v>1.3541417420733001E-2</v>
      </c>
    </row>
    <row r="275" spans="1:2" x14ac:dyDescent="0.35">
      <c r="A275">
        <v>44650</v>
      </c>
      <c r="B275">
        <v>-1.199837350870775E-3</v>
      </c>
    </row>
    <row r="276" spans="1:2" x14ac:dyDescent="0.35">
      <c r="A276">
        <v>44651</v>
      </c>
      <c r="B276">
        <v>-8.4911539293792658E-3</v>
      </c>
    </row>
    <row r="277" spans="1:2" x14ac:dyDescent="0.35">
      <c r="A277">
        <v>44652</v>
      </c>
      <c r="B277">
        <v>4.8605723457669052E-3</v>
      </c>
    </row>
    <row r="278" spans="1:2" x14ac:dyDescent="0.35">
      <c r="A278">
        <v>44655</v>
      </c>
      <c r="B278">
        <v>6.243987898444249E-3</v>
      </c>
    </row>
    <row r="279" spans="1:2" x14ac:dyDescent="0.35">
      <c r="A279">
        <v>44656</v>
      </c>
      <c r="B279">
        <v>-1.4571288647423341E-2</v>
      </c>
    </row>
    <row r="280" spans="1:2" x14ac:dyDescent="0.35">
      <c r="A280">
        <v>44657</v>
      </c>
      <c r="B280">
        <v>-7.4970148453731332E-3</v>
      </c>
    </row>
    <row r="281" spans="1:2" x14ac:dyDescent="0.35">
      <c r="A281">
        <v>44658</v>
      </c>
      <c r="B281">
        <v>-1.7139386392048921E-3</v>
      </c>
    </row>
    <row r="282" spans="1:2" x14ac:dyDescent="0.35">
      <c r="A282">
        <v>44659</v>
      </c>
      <c r="B282">
        <v>-2.7287264080478081E-3</v>
      </c>
    </row>
    <row r="283" spans="1:2" x14ac:dyDescent="0.35">
      <c r="A283">
        <v>44662</v>
      </c>
      <c r="B283">
        <v>-1.014416253716627E-2</v>
      </c>
    </row>
    <row r="284" spans="1:2" x14ac:dyDescent="0.35">
      <c r="A284">
        <v>44663</v>
      </c>
      <c r="B284">
        <v>2.6987773828279658E-3</v>
      </c>
    </row>
    <row r="285" spans="1:2" x14ac:dyDescent="0.35">
      <c r="A285">
        <v>44664</v>
      </c>
      <c r="B285">
        <v>1.0327590520478949E-2</v>
      </c>
    </row>
    <row r="286" spans="1:2" x14ac:dyDescent="0.35">
      <c r="A286">
        <v>44665</v>
      </c>
      <c r="B286">
        <v>-9.1659813736990232E-3</v>
      </c>
    </row>
    <row r="287" spans="1:2" x14ac:dyDescent="0.35">
      <c r="A287">
        <v>44669</v>
      </c>
      <c r="B287">
        <v>-1.788136736344075E-3</v>
      </c>
    </row>
    <row r="288" spans="1:2" x14ac:dyDescent="0.35">
      <c r="A288">
        <v>44670</v>
      </c>
      <c r="B288">
        <v>1.356312754192134E-3</v>
      </c>
    </row>
    <row r="289" spans="1:2" x14ac:dyDescent="0.35">
      <c r="A289">
        <v>44671</v>
      </c>
      <c r="B289">
        <v>4.4408327632887079E-3</v>
      </c>
    </row>
    <row r="290" spans="1:2" x14ac:dyDescent="0.35">
      <c r="A290">
        <v>44672</v>
      </c>
      <c r="B290">
        <v>-1.086690745454242E-2</v>
      </c>
    </row>
    <row r="291" spans="1:2" x14ac:dyDescent="0.35">
      <c r="A291">
        <v>44673</v>
      </c>
      <c r="B291">
        <v>-1.367604397032908E-2</v>
      </c>
    </row>
    <row r="292" spans="1:2" x14ac:dyDescent="0.35">
      <c r="A292">
        <v>44676</v>
      </c>
      <c r="B292">
        <v>1.722815472895033E-3</v>
      </c>
    </row>
    <row r="293" spans="1:2" x14ac:dyDescent="0.35">
      <c r="A293">
        <v>44677</v>
      </c>
      <c r="B293">
        <v>-1.157425263872622E-2</v>
      </c>
    </row>
    <row r="294" spans="1:2" x14ac:dyDescent="0.35">
      <c r="A294">
        <v>44678</v>
      </c>
      <c r="B294">
        <v>-2.2023151928697248E-3</v>
      </c>
    </row>
    <row r="295" spans="1:2" x14ac:dyDescent="0.35">
      <c r="A295">
        <v>44679</v>
      </c>
      <c r="B295">
        <v>1.239953951740734E-2</v>
      </c>
    </row>
    <row r="296" spans="1:2" x14ac:dyDescent="0.35">
      <c r="A296">
        <v>44680</v>
      </c>
      <c r="B296">
        <v>-1.7850794288697808E-2</v>
      </c>
    </row>
    <row r="297" spans="1:2" x14ac:dyDescent="0.35">
      <c r="A297">
        <v>44683</v>
      </c>
      <c r="B297">
        <v>-2.3974624459138301E-3</v>
      </c>
    </row>
    <row r="298" spans="1:2" x14ac:dyDescent="0.35">
      <c r="A298">
        <v>44684</v>
      </c>
      <c r="B298">
        <v>4.142697917303333E-3</v>
      </c>
    </row>
    <row r="299" spans="1:2" x14ac:dyDescent="0.35">
      <c r="A299">
        <v>44685</v>
      </c>
      <c r="B299">
        <v>1.6978168886467838E-2</v>
      </c>
    </row>
    <row r="300" spans="1:2" x14ac:dyDescent="0.35">
      <c r="A300">
        <v>44686</v>
      </c>
      <c r="B300">
        <v>-2.5152824276436461E-2</v>
      </c>
    </row>
    <row r="301" spans="1:2" x14ac:dyDescent="0.35">
      <c r="A301">
        <v>44687</v>
      </c>
      <c r="B301">
        <v>-8.4811712073217492E-3</v>
      </c>
    </row>
    <row r="302" spans="1:2" x14ac:dyDescent="0.35">
      <c r="A302">
        <v>44690</v>
      </c>
      <c r="B302">
        <v>-2.223331628346922E-2</v>
      </c>
    </row>
    <row r="303" spans="1:2" x14ac:dyDescent="0.35">
      <c r="A303">
        <v>44691</v>
      </c>
      <c r="B303">
        <v>1.401228184751617E-3</v>
      </c>
    </row>
    <row r="304" spans="1:2" x14ac:dyDescent="0.35">
      <c r="A304">
        <v>44692</v>
      </c>
      <c r="B304">
        <v>-2.3841712816780251E-3</v>
      </c>
    </row>
    <row r="305" spans="1:2" x14ac:dyDescent="0.35">
      <c r="A305">
        <v>44693</v>
      </c>
      <c r="B305">
        <v>-1.6664929988815009E-4</v>
      </c>
    </row>
    <row r="306" spans="1:2" x14ac:dyDescent="0.35">
      <c r="A306">
        <v>44694</v>
      </c>
      <c r="B306">
        <v>1.300298333457661E-2</v>
      </c>
    </row>
    <row r="307" spans="1:2" x14ac:dyDescent="0.35">
      <c r="A307">
        <v>44697</v>
      </c>
      <c r="B307">
        <v>-6.3738016267416917E-5</v>
      </c>
    </row>
    <row r="308" spans="1:2" x14ac:dyDescent="0.35">
      <c r="A308">
        <v>44698</v>
      </c>
      <c r="B308">
        <v>7.5346921121223409E-3</v>
      </c>
    </row>
    <row r="309" spans="1:2" x14ac:dyDescent="0.35">
      <c r="A309">
        <v>44699</v>
      </c>
      <c r="B309">
        <v>-1.6540998242051051E-2</v>
      </c>
    </row>
    <row r="310" spans="1:2" x14ac:dyDescent="0.35">
      <c r="A310">
        <v>44700</v>
      </c>
      <c r="B310">
        <v>4.4977559946815576E-3</v>
      </c>
    </row>
    <row r="311" spans="1:2" x14ac:dyDescent="0.35">
      <c r="A311">
        <v>44701</v>
      </c>
      <c r="B311">
        <v>2.8765444242530159E-3</v>
      </c>
    </row>
    <row r="312" spans="1:2" x14ac:dyDescent="0.35">
      <c r="A312">
        <v>44704</v>
      </c>
      <c r="B312">
        <v>6.128639347971334E-3</v>
      </c>
    </row>
    <row r="313" spans="1:2" x14ac:dyDescent="0.35">
      <c r="A313">
        <v>44705</v>
      </c>
      <c r="B313">
        <v>4.1299474289248919E-6</v>
      </c>
    </row>
    <row r="314" spans="1:2" x14ac:dyDescent="0.35">
      <c r="A314">
        <v>44706</v>
      </c>
      <c r="B314">
        <v>7.2511710284463658E-3</v>
      </c>
    </row>
    <row r="315" spans="1:2" x14ac:dyDescent="0.35">
      <c r="A315">
        <v>44707</v>
      </c>
      <c r="B315">
        <v>9.6806508591222151E-3</v>
      </c>
    </row>
    <row r="316" spans="1:2" x14ac:dyDescent="0.35">
      <c r="A316">
        <v>44708</v>
      </c>
      <c r="B316">
        <v>1.374864559158618E-2</v>
      </c>
    </row>
    <row r="317" spans="1:2" x14ac:dyDescent="0.35">
      <c r="A317">
        <v>44712</v>
      </c>
      <c r="B317">
        <v>-7.437093162627942E-3</v>
      </c>
    </row>
    <row r="318" spans="1:2" x14ac:dyDescent="0.35">
      <c r="A318">
        <v>44713</v>
      </c>
      <c r="B318">
        <v>-4.3425205942191E-3</v>
      </c>
    </row>
    <row r="319" spans="1:2" x14ac:dyDescent="0.35">
      <c r="A319">
        <v>44714</v>
      </c>
      <c r="B319">
        <v>1.369475501529311E-2</v>
      </c>
    </row>
    <row r="320" spans="1:2" x14ac:dyDescent="0.35">
      <c r="A320">
        <v>44715</v>
      </c>
      <c r="B320">
        <v>-9.2276434139927088E-3</v>
      </c>
    </row>
    <row r="321" spans="1:2" x14ac:dyDescent="0.35">
      <c r="A321">
        <v>44718</v>
      </c>
      <c r="B321">
        <v>-1.9649388095644999E-3</v>
      </c>
    </row>
    <row r="322" spans="1:2" x14ac:dyDescent="0.35">
      <c r="A322">
        <v>44719</v>
      </c>
      <c r="B322">
        <v>7.4863450698935668E-3</v>
      </c>
    </row>
    <row r="323" spans="1:2" x14ac:dyDescent="0.35">
      <c r="A323">
        <v>44720</v>
      </c>
      <c r="B323">
        <v>-7.0036310199470073E-3</v>
      </c>
    </row>
    <row r="324" spans="1:2" x14ac:dyDescent="0.35">
      <c r="A324">
        <v>44721</v>
      </c>
      <c r="B324">
        <v>-1.2778843470374579E-2</v>
      </c>
    </row>
    <row r="325" spans="1:2" x14ac:dyDescent="0.35">
      <c r="A325">
        <v>44722</v>
      </c>
      <c r="B325">
        <v>-1.565919064877359E-2</v>
      </c>
    </row>
    <row r="326" spans="1:2" x14ac:dyDescent="0.35">
      <c r="A326">
        <v>44725</v>
      </c>
      <c r="B326">
        <v>-3.2738274629219868E-2</v>
      </c>
    </row>
    <row r="327" spans="1:2" x14ac:dyDescent="0.35">
      <c r="A327">
        <v>44726</v>
      </c>
      <c r="B327">
        <v>-3.9555279739224743E-3</v>
      </c>
    </row>
    <row r="328" spans="1:2" x14ac:dyDescent="0.35">
      <c r="A328">
        <v>44727</v>
      </c>
      <c r="B328">
        <v>1.5907069267439389E-2</v>
      </c>
    </row>
    <row r="329" spans="1:2" x14ac:dyDescent="0.35">
      <c r="A329">
        <v>44728</v>
      </c>
      <c r="B329">
        <v>-1.5282102466647509E-2</v>
      </c>
    </row>
    <row r="330" spans="1:2" x14ac:dyDescent="0.35">
      <c r="A330">
        <v>44729</v>
      </c>
      <c r="B330">
        <v>-4.8296216424715838E-4</v>
      </c>
    </row>
    <row r="331" spans="1:2" x14ac:dyDescent="0.35">
      <c r="A331">
        <v>44733</v>
      </c>
      <c r="B331">
        <v>6.2037224028541251E-3</v>
      </c>
    </row>
    <row r="332" spans="1:2" x14ac:dyDescent="0.35">
      <c r="A332">
        <v>44734</v>
      </c>
      <c r="B332">
        <v>1.3538199470569581E-3</v>
      </c>
    </row>
    <row r="333" spans="1:2" x14ac:dyDescent="0.35">
      <c r="A333">
        <v>44735</v>
      </c>
      <c r="B333">
        <v>4.8103362600601419E-3</v>
      </c>
    </row>
    <row r="334" spans="1:2" x14ac:dyDescent="0.35">
      <c r="A334">
        <v>44736</v>
      </c>
      <c r="B334">
        <v>1.42698392821027E-2</v>
      </c>
    </row>
    <row r="335" spans="1:2" x14ac:dyDescent="0.35">
      <c r="A335">
        <v>44739</v>
      </c>
      <c r="B335">
        <v>-3.7248563233595079E-3</v>
      </c>
    </row>
    <row r="336" spans="1:2" x14ac:dyDescent="0.35">
      <c r="A336">
        <v>44740</v>
      </c>
      <c r="B336">
        <v>-7.4809507147548318E-3</v>
      </c>
    </row>
    <row r="337" spans="1:2" x14ac:dyDescent="0.35">
      <c r="A337">
        <v>44741</v>
      </c>
      <c r="B337">
        <v>-1.1515913455075249E-3</v>
      </c>
    </row>
    <row r="338" spans="1:2" x14ac:dyDescent="0.35">
      <c r="A338">
        <v>44742</v>
      </c>
      <c r="B338">
        <v>-4.8646864738214829E-3</v>
      </c>
    </row>
    <row r="339" spans="1:2" x14ac:dyDescent="0.35">
      <c r="A339">
        <v>44743</v>
      </c>
      <c r="B339">
        <v>7.5551153907292001E-3</v>
      </c>
    </row>
    <row r="340" spans="1:2" x14ac:dyDescent="0.35">
      <c r="A340">
        <v>44747</v>
      </c>
      <c r="B340">
        <v>-6.9008302849258747E-3</v>
      </c>
    </row>
    <row r="341" spans="1:2" x14ac:dyDescent="0.35">
      <c r="A341">
        <v>44748</v>
      </c>
      <c r="B341">
        <v>-5.7825716309130581E-3</v>
      </c>
    </row>
    <row r="342" spans="1:2" x14ac:dyDescent="0.35">
      <c r="A342">
        <v>44749</v>
      </c>
      <c r="B342">
        <v>1.177535455230139E-2</v>
      </c>
    </row>
    <row r="343" spans="1:2" x14ac:dyDescent="0.35">
      <c r="A343">
        <v>44750</v>
      </c>
      <c r="B343">
        <v>-3.1917757694405842E-4</v>
      </c>
    </row>
    <row r="344" spans="1:2" x14ac:dyDescent="0.35">
      <c r="A344">
        <v>44753</v>
      </c>
      <c r="B344">
        <v>-6.9085245127660328E-3</v>
      </c>
    </row>
    <row r="345" spans="1:2" x14ac:dyDescent="0.35">
      <c r="A345">
        <v>44754</v>
      </c>
      <c r="B345">
        <v>-5.4328282230194994E-3</v>
      </c>
    </row>
    <row r="346" spans="1:2" x14ac:dyDescent="0.35">
      <c r="A346">
        <v>44755</v>
      </c>
      <c r="B346">
        <v>1.400060454818433E-3</v>
      </c>
    </row>
    <row r="347" spans="1:2" x14ac:dyDescent="0.35">
      <c r="A347">
        <v>44756</v>
      </c>
      <c r="B347">
        <v>-7.1975963634857412E-3</v>
      </c>
    </row>
    <row r="348" spans="1:2" x14ac:dyDescent="0.35">
      <c r="A348">
        <v>44757</v>
      </c>
      <c r="B348">
        <v>1.1402850256175139E-2</v>
      </c>
    </row>
    <row r="349" spans="1:2" x14ac:dyDescent="0.35">
      <c r="A349">
        <v>44760</v>
      </c>
      <c r="B349">
        <v>-2.1551746329883498E-3</v>
      </c>
    </row>
    <row r="350" spans="1:2" x14ac:dyDescent="0.35">
      <c r="A350">
        <v>44761</v>
      </c>
      <c r="B350">
        <v>1.4583865382144481E-2</v>
      </c>
    </row>
    <row r="351" spans="1:2" x14ac:dyDescent="0.35">
      <c r="A351">
        <v>44762</v>
      </c>
      <c r="B351">
        <v>1.61298649092035E-3</v>
      </c>
    </row>
    <row r="352" spans="1:2" x14ac:dyDescent="0.35">
      <c r="A352">
        <v>44763</v>
      </c>
      <c r="B352">
        <v>9.2364803779051569E-3</v>
      </c>
    </row>
    <row r="353" spans="1:2" x14ac:dyDescent="0.35">
      <c r="A353">
        <v>44764</v>
      </c>
      <c r="B353">
        <v>-2.070873440184349E-3</v>
      </c>
    </row>
    <row r="354" spans="1:2" x14ac:dyDescent="0.35">
      <c r="A354">
        <v>44767</v>
      </c>
      <c r="B354">
        <v>5.8085165687296668E-4</v>
      </c>
    </row>
    <row r="355" spans="1:2" x14ac:dyDescent="0.35">
      <c r="A355">
        <v>44768</v>
      </c>
      <c r="B355">
        <v>-5.3003530028448162E-3</v>
      </c>
    </row>
    <row r="356" spans="1:2" x14ac:dyDescent="0.35">
      <c r="A356">
        <v>44769</v>
      </c>
      <c r="B356">
        <v>1.5527980242026399E-2</v>
      </c>
    </row>
    <row r="357" spans="1:2" x14ac:dyDescent="0.35">
      <c r="A357">
        <v>44770</v>
      </c>
      <c r="B357">
        <v>1.059814336588079E-2</v>
      </c>
    </row>
    <row r="358" spans="1:2" x14ac:dyDescent="0.35">
      <c r="A358">
        <v>44771</v>
      </c>
      <c r="B358">
        <v>5.4045346419143419E-3</v>
      </c>
    </row>
    <row r="359" spans="1:2" x14ac:dyDescent="0.35">
      <c r="A359">
        <v>44774</v>
      </c>
      <c r="B359">
        <v>-1.3130079654642471E-4</v>
      </c>
    </row>
    <row r="360" spans="1:2" x14ac:dyDescent="0.35">
      <c r="A360">
        <v>44775</v>
      </c>
      <c r="B360">
        <v>-8.9144851155840421E-3</v>
      </c>
    </row>
    <row r="361" spans="1:2" x14ac:dyDescent="0.35">
      <c r="A361">
        <v>44776</v>
      </c>
      <c r="B361">
        <v>8.9859534534171576E-3</v>
      </c>
    </row>
    <row r="362" spans="1:2" x14ac:dyDescent="0.35">
      <c r="A362">
        <v>44777</v>
      </c>
      <c r="B362">
        <v>2.2743336375341751E-3</v>
      </c>
    </row>
    <row r="363" spans="1:2" x14ac:dyDescent="0.35">
      <c r="A363">
        <v>44778</v>
      </c>
      <c r="B363">
        <v>-6.4326938166571999E-3</v>
      </c>
    </row>
    <row r="364" spans="1:2" x14ac:dyDescent="0.35">
      <c r="A364">
        <v>44781</v>
      </c>
      <c r="B364">
        <v>5.5108411049502497E-3</v>
      </c>
    </row>
    <row r="365" spans="1:2" x14ac:dyDescent="0.35">
      <c r="A365">
        <v>44782</v>
      </c>
      <c r="B365">
        <v>-3.3267728174415411E-3</v>
      </c>
    </row>
    <row r="366" spans="1:2" x14ac:dyDescent="0.35">
      <c r="A366">
        <v>44783</v>
      </c>
      <c r="B366">
        <v>1.312130928488903E-2</v>
      </c>
    </row>
    <row r="367" spans="1:2" x14ac:dyDescent="0.35">
      <c r="A367">
        <v>44784</v>
      </c>
      <c r="B367">
        <v>-2.4337034334949502E-3</v>
      </c>
    </row>
    <row r="368" spans="1:2" x14ac:dyDescent="0.35">
      <c r="A368">
        <v>44785</v>
      </c>
      <c r="B368">
        <v>1.090215471894068E-2</v>
      </c>
    </row>
    <row r="369" spans="1:2" x14ac:dyDescent="0.35">
      <c r="A369">
        <v>44788</v>
      </c>
      <c r="B369">
        <v>-1.344333522946008E-3</v>
      </c>
    </row>
    <row r="370" spans="1:2" x14ac:dyDescent="0.35">
      <c r="A370">
        <v>44789</v>
      </c>
      <c r="B370">
        <v>-1.8766837020666E-3</v>
      </c>
    </row>
    <row r="371" spans="1:2" x14ac:dyDescent="0.35">
      <c r="A371">
        <v>44790</v>
      </c>
      <c r="B371">
        <v>-7.7431087742554491E-3</v>
      </c>
    </row>
    <row r="372" spans="1:2" x14ac:dyDescent="0.35">
      <c r="A372">
        <v>44791</v>
      </c>
      <c r="B372">
        <v>1.3747530398409171E-3</v>
      </c>
    </row>
    <row r="373" spans="1:2" x14ac:dyDescent="0.35">
      <c r="A373">
        <v>44792</v>
      </c>
      <c r="B373">
        <v>-1.2225284647201301E-2</v>
      </c>
    </row>
    <row r="374" spans="1:2" x14ac:dyDescent="0.35">
      <c r="A374">
        <v>44795</v>
      </c>
      <c r="B374">
        <v>-1.157398588535199E-2</v>
      </c>
    </row>
    <row r="375" spans="1:2" x14ac:dyDescent="0.35">
      <c r="A375">
        <v>44796</v>
      </c>
      <c r="B375">
        <v>8.6311279754957507E-4</v>
      </c>
    </row>
    <row r="376" spans="1:2" x14ac:dyDescent="0.35">
      <c r="A376">
        <v>44797</v>
      </c>
      <c r="B376">
        <v>1.7905684675552909E-3</v>
      </c>
    </row>
    <row r="377" spans="1:2" x14ac:dyDescent="0.35">
      <c r="A377">
        <v>44798</v>
      </c>
      <c r="B377">
        <v>1.032299820083288E-2</v>
      </c>
    </row>
    <row r="378" spans="1:2" x14ac:dyDescent="0.35">
      <c r="A378">
        <v>44799</v>
      </c>
      <c r="B378">
        <v>-1.650034945950396E-2</v>
      </c>
    </row>
    <row r="379" spans="1:2" x14ac:dyDescent="0.35">
      <c r="A379">
        <v>44802</v>
      </c>
      <c r="B379">
        <v>-4.4210774065998161E-3</v>
      </c>
    </row>
    <row r="380" spans="1:2" x14ac:dyDescent="0.35">
      <c r="A380">
        <v>44803</v>
      </c>
      <c r="B380">
        <v>-9.1052849411423567E-3</v>
      </c>
    </row>
    <row r="381" spans="1:2" x14ac:dyDescent="0.35">
      <c r="A381">
        <v>44804</v>
      </c>
      <c r="B381">
        <v>-7.1448207844857572E-3</v>
      </c>
    </row>
    <row r="382" spans="1:2" x14ac:dyDescent="0.35">
      <c r="A382">
        <v>44805</v>
      </c>
      <c r="B382">
        <v>-7.21853735890655E-3</v>
      </c>
    </row>
    <row r="383" spans="1:2" x14ac:dyDescent="0.35">
      <c r="A383">
        <v>44806</v>
      </c>
      <c r="B383">
        <v>-2.94019134188015E-3</v>
      </c>
    </row>
    <row r="384" spans="1:2" x14ac:dyDescent="0.35">
      <c r="A384">
        <v>44810</v>
      </c>
      <c r="B384">
        <v>-7.5064467261210582E-3</v>
      </c>
    </row>
    <row r="385" spans="1:2" x14ac:dyDescent="0.35">
      <c r="A385">
        <v>44811</v>
      </c>
      <c r="B385">
        <v>1.115914177716225E-2</v>
      </c>
    </row>
    <row r="386" spans="1:2" x14ac:dyDescent="0.35">
      <c r="A386">
        <v>44812</v>
      </c>
      <c r="B386">
        <v>3.5241512947050839E-4</v>
      </c>
    </row>
    <row r="387" spans="1:2" x14ac:dyDescent="0.35">
      <c r="A387">
        <v>44813</v>
      </c>
      <c r="B387">
        <v>1.2573392346422879E-2</v>
      </c>
    </row>
    <row r="388" spans="1:2" x14ac:dyDescent="0.35">
      <c r="A388">
        <v>44816</v>
      </c>
      <c r="B388">
        <v>6.8588182735909581E-3</v>
      </c>
    </row>
    <row r="389" spans="1:2" x14ac:dyDescent="0.35">
      <c r="A389">
        <v>44817</v>
      </c>
      <c r="B389">
        <v>-2.4382492467313711E-2</v>
      </c>
    </row>
    <row r="390" spans="1:2" x14ac:dyDescent="0.35">
      <c r="A390">
        <v>44818</v>
      </c>
      <c r="B390">
        <v>1.9248574629180579E-3</v>
      </c>
    </row>
    <row r="391" spans="1:2" x14ac:dyDescent="0.35">
      <c r="A391">
        <v>44819</v>
      </c>
      <c r="B391">
        <v>-1.135517317307768E-2</v>
      </c>
    </row>
    <row r="392" spans="1:2" x14ac:dyDescent="0.35">
      <c r="A392">
        <v>44820</v>
      </c>
      <c r="B392">
        <v>-3.9967686394610253E-3</v>
      </c>
    </row>
    <row r="393" spans="1:2" x14ac:dyDescent="0.35">
      <c r="A393">
        <v>44823</v>
      </c>
      <c r="B393">
        <v>3.1867209876850081E-3</v>
      </c>
    </row>
    <row r="394" spans="1:2" x14ac:dyDescent="0.35">
      <c r="A394">
        <v>44824</v>
      </c>
      <c r="B394">
        <v>-1.0262951719275141E-2</v>
      </c>
    </row>
    <row r="395" spans="1:2" x14ac:dyDescent="0.35">
      <c r="A395">
        <v>44825</v>
      </c>
      <c r="B395">
        <v>-6.3400171131223924E-3</v>
      </c>
    </row>
    <row r="396" spans="1:2" x14ac:dyDescent="0.35">
      <c r="A396">
        <v>44826</v>
      </c>
      <c r="B396">
        <v>-1.017658366872288E-2</v>
      </c>
    </row>
    <row r="397" spans="1:2" x14ac:dyDescent="0.35">
      <c r="A397">
        <v>44827</v>
      </c>
      <c r="B397">
        <v>-1.5669552904312409E-2</v>
      </c>
    </row>
    <row r="398" spans="1:2" x14ac:dyDescent="0.35">
      <c r="A398">
        <v>44830</v>
      </c>
      <c r="B398">
        <v>-1.52199385129372E-2</v>
      </c>
    </row>
    <row r="399" spans="1:2" x14ac:dyDescent="0.35">
      <c r="A399">
        <v>44831</v>
      </c>
      <c r="B399">
        <v>-4.7983090905842993E-3</v>
      </c>
    </row>
    <row r="400" spans="1:2" x14ac:dyDescent="0.35">
      <c r="A400">
        <v>44832</v>
      </c>
      <c r="B400">
        <v>2.2283868052174399E-2</v>
      </c>
    </row>
    <row r="401" spans="1:2" x14ac:dyDescent="0.35">
      <c r="A401">
        <v>44833</v>
      </c>
      <c r="B401">
        <v>-1.405444095725816E-2</v>
      </c>
    </row>
    <row r="402" spans="1:2" x14ac:dyDescent="0.35">
      <c r="A402">
        <v>44834</v>
      </c>
      <c r="B402">
        <v>-5.8930785040497338E-3</v>
      </c>
    </row>
    <row r="403" spans="1:2" x14ac:dyDescent="0.35">
      <c r="A403">
        <v>44837</v>
      </c>
      <c r="B403">
        <v>1.971777256782772E-2</v>
      </c>
    </row>
    <row r="404" spans="1:2" x14ac:dyDescent="0.35">
      <c r="A404">
        <v>44838</v>
      </c>
      <c r="B404">
        <v>2.1820134216095469E-2</v>
      </c>
    </row>
    <row r="405" spans="1:2" x14ac:dyDescent="0.35">
      <c r="A405">
        <v>44839</v>
      </c>
      <c r="B405">
        <v>-4.8366165227628922E-3</v>
      </c>
    </row>
    <row r="406" spans="1:2" x14ac:dyDescent="0.35">
      <c r="A406">
        <v>44840</v>
      </c>
      <c r="B406">
        <v>-7.1992525861184998E-3</v>
      </c>
    </row>
    <row r="407" spans="1:2" x14ac:dyDescent="0.35">
      <c r="A407">
        <v>44841</v>
      </c>
      <c r="B407">
        <v>-1.6126536460942881E-2</v>
      </c>
    </row>
    <row r="408" spans="1:2" x14ac:dyDescent="0.35">
      <c r="A408">
        <v>44844</v>
      </c>
      <c r="B408">
        <v>-1.010509327724458E-2</v>
      </c>
    </row>
    <row r="409" spans="1:2" x14ac:dyDescent="0.35">
      <c r="A409">
        <v>44845</v>
      </c>
      <c r="B409">
        <v>-3.748576692850625E-3</v>
      </c>
    </row>
    <row r="410" spans="1:2" x14ac:dyDescent="0.35">
      <c r="A410">
        <v>44846</v>
      </c>
      <c r="B410">
        <v>-4.0695699719529171E-4</v>
      </c>
    </row>
    <row r="411" spans="1:2" x14ac:dyDescent="0.35">
      <c r="A411">
        <v>44847</v>
      </c>
      <c r="B411">
        <v>9.4602663598266079E-3</v>
      </c>
    </row>
    <row r="412" spans="1:2" x14ac:dyDescent="0.35">
      <c r="A412">
        <v>44848</v>
      </c>
      <c r="B412">
        <v>-1.6110711549819419E-2</v>
      </c>
    </row>
    <row r="413" spans="1:2" x14ac:dyDescent="0.35">
      <c r="A413">
        <v>44851</v>
      </c>
      <c r="B413">
        <v>1.618260648610835E-2</v>
      </c>
    </row>
    <row r="414" spans="1:2" x14ac:dyDescent="0.35">
      <c r="A414">
        <v>44852</v>
      </c>
      <c r="B414">
        <v>4.925278340232599E-3</v>
      </c>
    </row>
    <row r="415" spans="1:2" x14ac:dyDescent="0.35">
      <c r="A415">
        <v>44853</v>
      </c>
      <c r="B415">
        <v>-1.2408577619091711E-2</v>
      </c>
    </row>
    <row r="416" spans="1:2" x14ac:dyDescent="0.35">
      <c r="A416">
        <v>44854</v>
      </c>
      <c r="B416">
        <v>-5.5056861061407326E-3</v>
      </c>
    </row>
    <row r="417" spans="1:2" x14ac:dyDescent="0.35">
      <c r="A417">
        <v>44855</v>
      </c>
      <c r="B417">
        <v>1.053089622180749E-2</v>
      </c>
    </row>
    <row r="418" spans="1:2" x14ac:dyDescent="0.35">
      <c r="A418">
        <v>44858</v>
      </c>
      <c r="B418">
        <v>-1.6850772261234751E-3</v>
      </c>
    </row>
    <row r="419" spans="1:2" x14ac:dyDescent="0.35">
      <c r="A419">
        <v>44859</v>
      </c>
      <c r="B419">
        <v>1.716946730698541E-2</v>
      </c>
    </row>
    <row r="420" spans="1:2" x14ac:dyDescent="0.35">
      <c r="A420">
        <v>44860</v>
      </c>
      <c r="B420">
        <v>4.3671293598485329E-3</v>
      </c>
    </row>
    <row r="421" spans="1:2" x14ac:dyDescent="0.35">
      <c r="A421">
        <v>44861</v>
      </c>
      <c r="B421">
        <v>-7.838859664560247E-4</v>
      </c>
    </row>
    <row r="422" spans="1:2" x14ac:dyDescent="0.35">
      <c r="A422">
        <v>44862</v>
      </c>
      <c r="B422">
        <v>6.5693478034893251E-3</v>
      </c>
    </row>
    <row r="423" spans="1:2" x14ac:dyDescent="0.35">
      <c r="A423">
        <v>44865</v>
      </c>
      <c r="B423">
        <v>-6.5528769761851249E-3</v>
      </c>
    </row>
    <row r="424" spans="1:2" x14ac:dyDescent="0.35">
      <c r="A424">
        <v>44866</v>
      </c>
      <c r="B424">
        <v>5.0387749951896999E-3</v>
      </c>
    </row>
    <row r="425" spans="1:2" x14ac:dyDescent="0.35">
      <c r="A425">
        <v>44867</v>
      </c>
      <c r="B425">
        <v>-1.3402235861070521E-2</v>
      </c>
    </row>
    <row r="426" spans="1:2" x14ac:dyDescent="0.35">
      <c r="A426">
        <v>44868</v>
      </c>
      <c r="B426">
        <v>-5.4684338734670417E-3</v>
      </c>
    </row>
    <row r="427" spans="1:2" x14ac:dyDescent="0.35">
      <c r="A427">
        <v>44869</v>
      </c>
      <c r="B427">
        <v>1.6208925397394179E-2</v>
      </c>
    </row>
    <row r="428" spans="1:2" x14ac:dyDescent="0.35">
      <c r="A428">
        <v>44872</v>
      </c>
      <c r="B428">
        <v>-9.5622853268175043E-5</v>
      </c>
    </row>
    <row r="429" spans="1:2" x14ac:dyDescent="0.35">
      <c r="A429">
        <v>44873</v>
      </c>
      <c r="B429">
        <v>5.5327196394781251E-3</v>
      </c>
    </row>
    <row r="430" spans="1:2" x14ac:dyDescent="0.35">
      <c r="A430">
        <v>44874</v>
      </c>
      <c r="B430">
        <v>-1.2374720396586009E-2</v>
      </c>
    </row>
    <row r="431" spans="1:2" x14ac:dyDescent="0.35">
      <c r="A431">
        <v>44875</v>
      </c>
      <c r="B431">
        <v>4.3404552528241568E-2</v>
      </c>
    </row>
    <row r="432" spans="1:2" x14ac:dyDescent="0.35">
      <c r="A432">
        <v>44876</v>
      </c>
      <c r="B432">
        <v>9.1222062138017739E-3</v>
      </c>
    </row>
    <row r="433" spans="1:2" x14ac:dyDescent="0.35">
      <c r="A433">
        <v>44879</v>
      </c>
      <c r="B433">
        <v>-8.2841155482636236E-3</v>
      </c>
    </row>
    <row r="434" spans="1:2" x14ac:dyDescent="0.35">
      <c r="A434">
        <v>44880</v>
      </c>
      <c r="B434">
        <v>1.159193046383987E-2</v>
      </c>
    </row>
    <row r="435" spans="1:2" x14ac:dyDescent="0.35">
      <c r="A435">
        <v>44881</v>
      </c>
      <c r="B435">
        <v>-3.671104085411899E-3</v>
      </c>
    </row>
    <row r="436" spans="1:2" x14ac:dyDescent="0.35">
      <c r="A436">
        <v>44882</v>
      </c>
      <c r="B436">
        <v>-5.9131827876277576E-3</v>
      </c>
    </row>
    <row r="437" spans="1:2" x14ac:dyDescent="0.35">
      <c r="A437">
        <v>44883</v>
      </c>
      <c r="B437">
        <v>-1.9759647769412121E-4</v>
      </c>
    </row>
    <row r="438" spans="1:2" x14ac:dyDescent="0.35">
      <c r="A438">
        <v>44886</v>
      </c>
      <c r="B438">
        <v>-3.460047947386316E-3</v>
      </c>
    </row>
    <row r="439" spans="1:2" x14ac:dyDescent="0.35">
      <c r="A439">
        <v>44887</v>
      </c>
      <c r="B439">
        <v>8.9958027292940668E-3</v>
      </c>
    </row>
    <row r="440" spans="1:2" x14ac:dyDescent="0.35">
      <c r="A440">
        <v>44888</v>
      </c>
      <c r="B440">
        <v>5.8217035104107329E-3</v>
      </c>
    </row>
    <row r="441" spans="1:2" x14ac:dyDescent="0.35">
      <c r="A441">
        <v>44890</v>
      </c>
      <c r="B441">
        <v>-8.8091740756933326E-4</v>
      </c>
    </row>
    <row r="442" spans="1:2" x14ac:dyDescent="0.35">
      <c r="A442">
        <v>44893</v>
      </c>
      <c r="B442">
        <v>-1.028866872998558E-2</v>
      </c>
    </row>
    <row r="443" spans="1:2" x14ac:dyDescent="0.35">
      <c r="A443">
        <v>44894</v>
      </c>
      <c r="B443">
        <v>2.9950674831501498E-3</v>
      </c>
    </row>
    <row r="444" spans="1:2" x14ac:dyDescent="0.35">
      <c r="A444">
        <v>44895</v>
      </c>
      <c r="B444">
        <v>2.10707895037241E-2</v>
      </c>
    </row>
    <row r="445" spans="1:2" x14ac:dyDescent="0.35">
      <c r="A445">
        <v>44896</v>
      </c>
      <c r="B445">
        <v>6.2424381164936753E-3</v>
      </c>
    </row>
    <row r="446" spans="1:2" x14ac:dyDescent="0.35">
      <c r="A446">
        <v>44897</v>
      </c>
      <c r="B446">
        <v>5.4870320624039151E-4</v>
      </c>
    </row>
    <row r="447" spans="1:2" x14ac:dyDescent="0.35">
      <c r="A447">
        <v>44900</v>
      </c>
      <c r="B447">
        <v>-1.586127967913329E-2</v>
      </c>
    </row>
    <row r="448" spans="1:2" x14ac:dyDescent="0.35">
      <c r="A448">
        <v>44901</v>
      </c>
      <c r="B448">
        <v>-5.0328051813161344E-3</v>
      </c>
    </row>
    <row r="449" spans="1:2" x14ac:dyDescent="0.35">
      <c r="A449">
        <v>44902</v>
      </c>
      <c r="B449">
        <v>3.3630404945441828E-3</v>
      </c>
    </row>
    <row r="450" spans="1:2" x14ac:dyDescent="0.35">
      <c r="A450">
        <v>44903</v>
      </c>
      <c r="B450">
        <v>3.296395677373967E-3</v>
      </c>
    </row>
    <row r="451" spans="1:2" x14ac:dyDescent="0.35">
      <c r="A451">
        <v>44904</v>
      </c>
      <c r="B451">
        <v>-5.8416761713351749E-3</v>
      </c>
    </row>
    <row r="452" spans="1:2" x14ac:dyDescent="0.35">
      <c r="A452">
        <v>44907</v>
      </c>
      <c r="B452">
        <v>4.4402195350201736E-3</v>
      </c>
    </row>
    <row r="453" spans="1:2" x14ac:dyDescent="0.35">
      <c r="A453">
        <v>44908</v>
      </c>
      <c r="B453">
        <v>1.1484511592683931E-2</v>
      </c>
    </row>
    <row r="454" spans="1:2" x14ac:dyDescent="0.35">
      <c r="A454">
        <v>44909</v>
      </c>
      <c r="B454">
        <v>-1.6648120370853579E-3</v>
      </c>
    </row>
    <row r="455" spans="1:2" x14ac:dyDescent="0.35">
      <c r="A455">
        <v>44910</v>
      </c>
      <c r="B455">
        <v>-1.4215616158409281E-2</v>
      </c>
    </row>
    <row r="456" spans="1:2" x14ac:dyDescent="0.35">
      <c r="A456">
        <v>44911</v>
      </c>
      <c r="B456">
        <v>-7.3156304952833248E-3</v>
      </c>
    </row>
    <row r="457" spans="1:2" x14ac:dyDescent="0.35">
      <c r="A457">
        <v>44914</v>
      </c>
      <c r="B457">
        <v>-7.9361701697940757E-3</v>
      </c>
    </row>
    <row r="458" spans="1:2" x14ac:dyDescent="0.35">
      <c r="A458">
        <v>44915</v>
      </c>
      <c r="B458">
        <v>-9.2377809824805042E-4</v>
      </c>
    </row>
    <row r="459" spans="1:2" x14ac:dyDescent="0.35">
      <c r="A459">
        <v>44916</v>
      </c>
      <c r="B459">
        <v>8.7455065041059342E-3</v>
      </c>
    </row>
    <row r="460" spans="1:2" x14ac:dyDescent="0.35">
      <c r="A460">
        <v>44917</v>
      </c>
      <c r="B460">
        <v>-8.7337874596173579E-3</v>
      </c>
    </row>
    <row r="461" spans="1:2" x14ac:dyDescent="0.35">
      <c r="A461">
        <v>44918</v>
      </c>
      <c r="B461">
        <v>2.1005331134554329E-3</v>
      </c>
    </row>
    <row r="462" spans="1:2" x14ac:dyDescent="0.35">
      <c r="A462">
        <v>44922</v>
      </c>
      <c r="B462">
        <v>-3.5670926352747E-3</v>
      </c>
    </row>
    <row r="463" spans="1:2" x14ac:dyDescent="0.35">
      <c r="A463">
        <v>44923</v>
      </c>
      <c r="B463">
        <v>-1.0341352118174959E-2</v>
      </c>
    </row>
    <row r="464" spans="1:2" x14ac:dyDescent="0.35">
      <c r="A464">
        <v>44924</v>
      </c>
      <c r="B464">
        <v>1.356167682310265E-2</v>
      </c>
    </row>
    <row r="465" spans="1:2" x14ac:dyDescent="0.35">
      <c r="A465">
        <v>44925</v>
      </c>
      <c r="B465">
        <v>-3.700187901181142E-3</v>
      </c>
    </row>
    <row r="466" spans="1:2" x14ac:dyDescent="0.35">
      <c r="A466">
        <v>44929</v>
      </c>
      <c r="B466">
        <v>1.829096415988641E-3</v>
      </c>
    </row>
    <row r="467" spans="1:2" x14ac:dyDescent="0.35">
      <c r="A467">
        <v>44930</v>
      </c>
      <c r="B467">
        <v>1.0220932181447619E-2</v>
      </c>
    </row>
    <row r="468" spans="1:2" x14ac:dyDescent="0.35">
      <c r="A468">
        <v>44931</v>
      </c>
      <c r="B468">
        <v>-7.936860208881567E-3</v>
      </c>
    </row>
    <row r="469" spans="1:2" x14ac:dyDescent="0.35">
      <c r="A469">
        <v>44932</v>
      </c>
      <c r="B469">
        <v>1.9373662548633461E-2</v>
      </c>
    </row>
    <row r="470" spans="1:2" x14ac:dyDescent="0.35">
      <c r="A470">
        <v>44935</v>
      </c>
      <c r="B470">
        <v>4.0987321431268913E-3</v>
      </c>
    </row>
    <row r="471" spans="1:2" x14ac:dyDescent="0.35">
      <c r="A471">
        <v>44936</v>
      </c>
      <c r="B471">
        <v>1.5732488592762411E-3</v>
      </c>
    </row>
    <row r="472" spans="1:2" x14ac:dyDescent="0.35">
      <c r="A472">
        <v>44937</v>
      </c>
      <c r="B472">
        <v>1.209359518389282E-2</v>
      </c>
    </row>
    <row r="473" spans="1:2" x14ac:dyDescent="0.35">
      <c r="A473">
        <v>44938</v>
      </c>
      <c r="B473">
        <v>1.029217691640932E-2</v>
      </c>
    </row>
    <row r="474" spans="1:2" x14ac:dyDescent="0.35">
      <c r="A474">
        <v>44939</v>
      </c>
      <c r="B474">
        <v>2.2343635372755908E-3</v>
      </c>
    </row>
    <row r="475" spans="1:2" x14ac:dyDescent="0.35">
      <c r="A475">
        <v>44943</v>
      </c>
      <c r="B475">
        <v>-1.4120185660234251E-3</v>
      </c>
    </row>
    <row r="476" spans="1:2" x14ac:dyDescent="0.35">
      <c r="A476">
        <v>44944</v>
      </c>
      <c r="B476">
        <v>-2.7393432857734839E-3</v>
      </c>
    </row>
    <row r="477" spans="1:2" x14ac:dyDescent="0.35">
      <c r="A477">
        <v>44945</v>
      </c>
      <c r="B477">
        <v>-1.3554200738741589E-3</v>
      </c>
    </row>
    <row r="478" spans="1:2" x14ac:dyDescent="0.35">
      <c r="A478">
        <v>44946</v>
      </c>
      <c r="B478">
        <v>6.2590895480457674E-3</v>
      </c>
    </row>
    <row r="479" spans="1:2" x14ac:dyDescent="0.35">
      <c r="A479">
        <v>44949</v>
      </c>
      <c r="B479">
        <v>4.6460012758851414E-3</v>
      </c>
    </row>
    <row r="480" spans="1:2" x14ac:dyDescent="0.35">
      <c r="A480">
        <v>44950</v>
      </c>
      <c r="B480">
        <v>1.734612835034025E-3</v>
      </c>
    </row>
    <row r="481" spans="1:2" x14ac:dyDescent="0.35">
      <c r="A481">
        <v>44951</v>
      </c>
      <c r="B481">
        <v>1.216465295352467E-3</v>
      </c>
    </row>
    <row r="482" spans="1:2" x14ac:dyDescent="0.35">
      <c r="A482">
        <v>44952</v>
      </c>
      <c r="B482">
        <v>3.9309957398171837E-3</v>
      </c>
    </row>
    <row r="483" spans="1:2" x14ac:dyDescent="0.35">
      <c r="A483">
        <v>44953</v>
      </c>
      <c r="B483">
        <v>-2.5632992552849851E-5</v>
      </c>
    </row>
    <row r="484" spans="1:2" x14ac:dyDescent="0.35">
      <c r="A484">
        <v>44956</v>
      </c>
      <c r="B484">
        <v>-9.7938493693856647E-3</v>
      </c>
    </row>
    <row r="485" spans="1:2" x14ac:dyDescent="0.35">
      <c r="A485">
        <v>44957</v>
      </c>
      <c r="B485">
        <v>1.0614405532092371E-2</v>
      </c>
    </row>
    <row r="486" spans="1:2" x14ac:dyDescent="0.35">
      <c r="A486">
        <v>44958</v>
      </c>
      <c r="B486">
        <v>9.0604660169288399E-3</v>
      </c>
    </row>
    <row r="487" spans="1:2" x14ac:dyDescent="0.35">
      <c r="A487">
        <v>44959</v>
      </c>
      <c r="B487">
        <v>5.451251052782516E-3</v>
      </c>
    </row>
    <row r="488" spans="1:2" x14ac:dyDescent="0.35">
      <c r="A488">
        <v>44960</v>
      </c>
      <c r="B488">
        <v>-1.4887547897227221E-2</v>
      </c>
    </row>
    <row r="489" spans="1:2" x14ac:dyDescent="0.35">
      <c r="A489">
        <v>44963</v>
      </c>
      <c r="B489">
        <v>-7.1926852613210081E-3</v>
      </c>
    </row>
    <row r="490" spans="1:2" x14ac:dyDescent="0.35">
      <c r="A490">
        <v>44964</v>
      </c>
      <c r="B490">
        <v>5.1001364746310826E-3</v>
      </c>
    </row>
    <row r="491" spans="1:2" x14ac:dyDescent="0.35">
      <c r="A491">
        <v>44965</v>
      </c>
      <c r="B491">
        <v>-3.8058155095631501E-3</v>
      </c>
    </row>
    <row r="492" spans="1:2" x14ac:dyDescent="0.35">
      <c r="A492">
        <v>44966</v>
      </c>
      <c r="B492">
        <v>-6.7477239958893412E-3</v>
      </c>
    </row>
    <row r="493" spans="1:2" x14ac:dyDescent="0.35">
      <c r="A493">
        <v>44967</v>
      </c>
      <c r="B493">
        <v>-2.2818815110975158E-3</v>
      </c>
    </row>
    <row r="494" spans="1:2" x14ac:dyDescent="0.35">
      <c r="A494">
        <v>44970</v>
      </c>
      <c r="B494">
        <v>6.4038773088613164E-3</v>
      </c>
    </row>
    <row r="495" spans="1:2" x14ac:dyDescent="0.35">
      <c r="A495">
        <v>44971</v>
      </c>
      <c r="B495">
        <v>-5.323127459228832E-4</v>
      </c>
    </row>
    <row r="496" spans="1:2" x14ac:dyDescent="0.35">
      <c r="A496">
        <v>44972</v>
      </c>
      <c r="B496">
        <v>-2.1837376608517E-3</v>
      </c>
    </row>
    <row r="497" spans="1:2" x14ac:dyDescent="0.35">
      <c r="A497">
        <v>44973</v>
      </c>
      <c r="B497">
        <v>-7.8103029108861823E-3</v>
      </c>
    </row>
    <row r="498" spans="1:2" x14ac:dyDescent="0.35">
      <c r="A498">
        <v>44974</v>
      </c>
      <c r="B498">
        <v>-4.344978628157417E-4</v>
      </c>
    </row>
    <row r="499" spans="1:2" x14ac:dyDescent="0.35">
      <c r="A499">
        <v>44978</v>
      </c>
      <c r="B499">
        <v>-1.4944955227347271E-2</v>
      </c>
    </row>
    <row r="500" spans="1:2" x14ac:dyDescent="0.35">
      <c r="A500">
        <v>44979</v>
      </c>
      <c r="B500">
        <v>-1.3025544379689749E-3</v>
      </c>
    </row>
    <row r="501" spans="1:2" x14ac:dyDescent="0.35">
      <c r="A501">
        <v>44980</v>
      </c>
      <c r="B501">
        <v>6.4326541711507666E-3</v>
      </c>
    </row>
    <row r="502" spans="1:2" x14ac:dyDescent="0.35">
      <c r="A502">
        <v>44981</v>
      </c>
      <c r="B502">
        <v>-1.1382027877273E-2</v>
      </c>
    </row>
    <row r="503" spans="1:2" x14ac:dyDescent="0.35">
      <c r="A503">
        <v>44984</v>
      </c>
      <c r="B503">
        <v>4.1923652066533082E-3</v>
      </c>
    </row>
    <row r="504" spans="1:2" x14ac:dyDescent="0.35">
      <c r="A504">
        <v>44985</v>
      </c>
      <c r="B504">
        <v>-7.1008711157725317E-4</v>
      </c>
    </row>
    <row r="505" spans="1:2" x14ac:dyDescent="0.35">
      <c r="A505">
        <v>44986</v>
      </c>
      <c r="B505">
        <v>-9.9399818046633052E-5</v>
      </c>
    </row>
    <row r="506" spans="1:2" x14ac:dyDescent="0.35">
      <c r="A506">
        <v>44987</v>
      </c>
      <c r="B506">
        <v>1.7097381953615669E-3</v>
      </c>
    </row>
    <row r="507" spans="1:2" x14ac:dyDescent="0.35">
      <c r="A507">
        <v>44988</v>
      </c>
      <c r="B507">
        <v>1.4145040132205531E-2</v>
      </c>
    </row>
    <row r="508" spans="1:2" x14ac:dyDescent="0.35">
      <c r="A508">
        <v>44991</v>
      </c>
      <c r="B508">
        <v>-3.750542783074792E-3</v>
      </c>
    </row>
    <row r="509" spans="1:2" x14ac:dyDescent="0.35">
      <c r="A509">
        <v>44992</v>
      </c>
      <c r="B509">
        <v>-1.1473451665889971E-2</v>
      </c>
    </row>
    <row r="510" spans="1:2" x14ac:dyDescent="0.35">
      <c r="A510">
        <v>44993</v>
      </c>
      <c r="B510">
        <v>1.382245305868425E-3</v>
      </c>
    </row>
    <row r="511" spans="1:2" x14ac:dyDescent="0.35">
      <c r="A511">
        <v>44994</v>
      </c>
      <c r="B511">
        <v>-9.6769066038604832E-3</v>
      </c>
    </row>
    <row r="512" spans="1:2" x14ac:dyDescent="0.35">
      <c r="A512">
        <v>44995</v>
      </c>
      <c r="B512">
        <v>-5.6270143346844135E-4</v>
      </c>
    </row>
    <row r="513" spans="1:2" x14ac:dyDescent="0.35">
      <c r="A513">
        <v>44998</v>
      </c>
      <c r="B513">
        <v>1.9967572010287159E-3</v>
      </c>
    </row>
    <row r="514" spans="1:2" x14ac:dyDescent="0.35">
      <c r="A514">
        <v>44999</v>
      </c>
      <c r="B514">
        <v>3.4492274937998921E-3</v>
      </c>
    </row>
    <row r="515" spans="1:2" x14ac:dyDescent="0.35">
      <c r="A515">
        <v>45000</v>
      </c>
      <c r="B515">
        <v>-3.476623389319275E-3</v>
      </c>
    </row>
    <row r="516" spans="1:2" x14ac:dyDescent="0.35">
      <c r="A516">
        <v>45001</v>
      </c>
      <c r="B516">
        <v>6.6298294337458086E-3</v>
      </c>
    </row>
    <row r="517" spans="1:2" x14ac:dyDescent="0.35">
      <c r="A517">
        <v>45002</v>
      </c>
      <c r="B517">
        <v>-2.6791529403977919E-3</v>
      </c>
    </row>
    <row r="518" spans="1:2" x14ac:dyDescent="0.35">
      <c r="A518">
        <v>45005</v>
      </c>
      <c r="B518">
        <v>3.5613184079133081E-3</v>
      </c>
    </row>
    <row r="519" spans="1:2" x14ac:dyDescent="0.35">
      <c r="A519">
        <v>45006</v>
      </c>
      <c r="B519">
        <v>4.054653691367374E-3</v>
      </c>
    </row>
    <row r="520" spans="1:2" x14ac:dyDescent="0.35">
      <c r="A520">
        <v>45007</v>
      </c>
      <c r="B520">
        <v>-3.5814323619995331E-3</v>
      </c>
    </row>
    <row r="521" spans="1:2" x14ac:dyDescent="0.35">
      <c r="A521">
        <v>45008</v>
      </c>
      <c r="B521">
        <v>2.7037245981902411E-3</v>
      </c>
    </row>
    <row r="522" spans="1:2" x14ac:dyDescent="0.35">
      <c r="A522">
        <v>45009</v>
      </c>
      <c r="B522">
        <v>3.206931349449142E-3</v>
      </c>
    </row>
    <row r="523" spans="1:2" x14ac:dyDescent="0.35">
      <c r="A523">
        <v>45012</v>
      </c>
      <c r="B523">
        <v>-2.644697021326092E-3</v>
      </c>
    </row>
    <row r="524" spans="1:2" x14ac:dyDescent="0.35">
      <c r="A524">
        <v>45013</v>
      </c>
      <c r="B524">
        <v>1.268196184752458E-3</v>
      </c>
    </row>
    <row r="525" spans="1:2" x14ac:dyDescent="0.35">
      <c r="A525">
        <v>45014</v>
      </c>
      <c r="B525">
        <v>6.9405692528233497E-3</v>
      </c>
    </row>
    <row r="526" spans="1:2" x14ac:dyDescent="0.35">
      <c r="A526">
        <v>45015</v>
      </c>
      <c r="B526">
        <v>6.5344040054425004E-3</v>
      </c>
    </row>
    <row r="527" spans="1:2" x14ac:dyDescent="0.35">
      <c r="A527">
        <v>45016</v>
      </c>
      <c r="B527">
        <v>9.8968568811752412E-3</v>
      </c>
    </row>
    <row r="528" spans="1:2" x14ac:dyDescent="0.35">
      <c r="A528">
        <v>45019</v>
      </c>
      <c r="B528">
        <v>3.516051605828558E-3</v>
      </c>
    </row>
    <row r="529" spans="1:2" x14ac:dyDescent="0.35">
      <c r="A529">
        <v>45020</v>
      </c>
      <c r="B529">
        <v>-4.1643442457358249E-5</v>
      </c>
    </row>
    <row r="530" spans="1:2" x14ac:dyDescent="0.35">
      <c r="A530">
        <v>45021</v>
      </c>
      <c r="B530">
        <v>-2.2640488441811831E-3</v>
      </c>
    </row>
    <row r="531" spans="1:2" x14ac:dyDescent="0.35">
      <c r="A531">
        <v>45022</v>
      </c>
      <c r="B531">
        <v>2.0160177831231082E-3</v>
      </c>
    </row>
    <row r="532" spans="1:2" x14ac:dyDescent="0.35">
      <c r="A532">
        <v>45026</v>
      </c>
      <c r="B532">
        <v>-1.9037683542806509E-3</v>
      </c>
    </row>
    <row r="533" spans="1:2" x14ac:dyDescent="0.35">
      <c r="A533">
        <v>45027</v>
      </c>
      <c r="B533">
        <v>2.5540474750033672E-3</v>
      </c>
    </row>
    <row r="534" spans="1:2" x14ac:dyDescent="0.35">
      <c r="A534">
        <v>45028</v>
      </c>
      <c r="B534">
        <v>-1.124612480547916E-3</v>
      </c>
    </row>
    <row r="535" spans="1:2" x14ac:dyDescent="0.35">
      <c r="A535">
        <v>45029</v>
      </c>
      <c r="B535">
        <v>6.708723895502108E-3</v>
      </c>
    </row>
    <row r="536" spans="1:2" x14ac:dyDescent="0.35">
      <c r="A536">
        <v>45030</v>
      </c>
      <c r="B536">
        <v>-6.1828920476574914E-3</v>
      </c>
    </row>
    <row r="537" spans="1:2" x14ac:dyDescent="0.35">
      <c r="A537">
        <v>45033</v>
      </c>
      <c r="B537">
        <v>4.0390679483567481E-4</v>
      </c>
    </row>
    <row r="538" spans="1:2" x14ac:dyDescent="0.35">
      <c r="A538">
        <v>45034</v>
      </c>
      <c r="B538">
        <v>1.124369835487003E-3</v>
      </c>
    </row>
    <row r="539" spans="1:2" x14ac:dyDescent="0.35">
      <c r="A539">
        <v>45035</v>
      </c>
      <c r="B539">
        <v>-3.1109020541586498E-3</v>
      </c>
    </row>
    <row r="540" spans="1:2" x14ac:dyDescent="0.35">
      <c r="A540">
        <v>45036</v>
      </c>
      <c r="B540">
        <v>-1.4342232802134331E-3</v>
      </c>
    </row>
    <row r="541" spans="1:2" x14ac:dyDescent="0.35">
      <c r="A541">
        <v>45037</v>
      </c>
      <c r="B541">
        <v>-1.4514852058357831E-3</v>
      </c>
    </row>
    <row r="542" spans="1:2" x14ac:dyDescent="0.35">
      <c r="A542">
        <v>45040</v>
      </c>
      <c r="B542">
        <v>2.296360413543583E-3</v>
      </c>
    </row>
    <row r="543" spans="1:2" x14ac:dyDescent="0.35">
      <c r="A543">
        <v>45041</v>
      </c>
      <c r="B543">
        <v>-6.9741074354772083E-3</v>
      </c>
    </row>
    <row r="544" spans="1:2" x14ac:dyDescent="0.35">
      <c r="A544">
        <v>45042</v>
      </c>
      <c r="B544">
        <v>-4.6481789024669911E-3</v>
      </c>
    </row>
    <row r="545" spans="1:2" x14ac:dyDescent="0.35">
      <c r="A545">
        <v>45043</v>
      </c>
      <c r="B545">
        <v>7.8091195874440992E-3</v>
      </c>
    </row>
    <row r="546" spans="1:2" x14ac:dyDescent="0.35">
      <c r="A546">
        <v>45044</v>
      </c>
      <c r="B546">
        <v>7.2124452102548748E-3</v>
      </c>
    </row>
    <row r="547" spans="1:2" x14ac:dyDescent="0.35">
      <c r="A547">
        <v>45047</v>
      </c>
      <c r="B547">
        <v>-7.3460782277166084E-3</v>
      </c>
    </row>
    <row r="548" spans="1:2" x14ac:dyDescent="0.35">
      <c r="A548">
        <v>45048</v>
      </c>
      <c r="B548">
        <v>-2.6308345509272E-3</v>
      </c>
    </row>
    <row r="549" spans="1:2" x14ac:dyDescent="0.35">
      <c r="A549">
        <v>45049</v>
      </c>
      <c r="B549">
        <v>-3.015845602230918E-4</v>
      </c>
    </row>
    <row r="550" spans="1:2" x14ac:dyDescent="0.35">
      <c r="A550">
        <v>45050</v>
      </c>
      <c r="B550">
        <v>-1.0250772217770671E-3</v>
      </c>
    </row>
    <row r="551" spans="1:2" x14ac:dyDescent="0.35">
      <c r="A551">
        <v>45051</v>
      </c>
      <c r="B551">
        <v>8.9897766475493732E-3</v>
      </c>
    </row>
    <row r="552" spans="1:2" x14ac:dyDescent="0.35">
      <c r="A552">
        <v>45054</v>
      </c>
      <c r="B552">
        <v>-2.3918887958979751E-3</v>
      </c>
    </row>
    <row r="553" spans="1:2" x14ac:dyDescent="0.35">
      <c r="A553">
        <v>45055</v>
      </c>
      <c r="B553">
        <v>-2.142428551817825E-3</v>
      </c>
    </row>
    <row r="554" spans="1:2" x14ac:dyDescent="0.35">
      <c r="A554">
        <v>45056</v>
      </c>
      <c r="B554">
        <v>4.5321252869548164E-3</v>
      </c>
    </row>
    <row r="555" spans="1:2" x14ac:dyDescent="0.35">
      <c r="A555">
        <v>45057</v>
      </c>
      <c r="B555">
        <v>-2.700282104659116E-3</v>
      </c>
    </row>
    <row r="556" spans="1:2" x14ac:dyDescent="0.35">
      <c r="A556">
        <v>45058</v>
      </c>
      <c r="B556">
        <v>-4.5267588924307661E-3</v>
      </c>
    </row>
    <row r="557" spans="1:2" x14ac:dyDescent="0.35">
      <c r="A557">
        <v>45061</v>
      </c>
      <c r="B557">
        <v>3.4054473543974999E-3</v>
      </c>
    </row>
    <row r="558" spans="1:2" x14ac:dyDescent="0.35">
      <c r="A558">
        <v>45062</v>
      </c>
      <c r="B558">
        <v>-8.6192593652203997E-3</v>
      </c>
    </row>
    <row r="559" spans="1:2" x14ac:dyDescent="0.35">
      <c r="A559">
        <v>45063</v>
      </c>
      <c r="B559">
        <v>6.1867109621796951E-3</v>
      </c>
    </row>
    <row r="560" spans="1:2" x14ac:dyDescent="0.35">
      <c r="A560">
        <v>45064</v>
      </c>
      <c r="B560">
        <v>-1.398032732277367E-3</v>
      </c>
    </row>
    <row r="561" spans="1:2" x14ac:dyDescent="0.35">
      <c r="A561">
        <v>45065</v>
      </c>
      <c r="B561">
        <v>-5.9845098661762488E-4</v>
      </c>
    </row>
    <row r="562" spans="1:2" x14ac:dyDescent="0.35">
      <c r="A562">
        <v>45068</v>
      </c>
      <c r="B562">
        <v>2.312914786183408E-3</v>
      </c>
    </row>
    <row r="563" spans="1:2" x14ac:dyDescent="0.35">
      <c r="A563">
        <v>45069</v>
      </c>
      <c r="B563">
        <v>-5.1395547168365668E-3</v>
      </c>
    </row>
    <row r="564" spans="1:2" x14ac:dyDescent="0.35">
      <c r="A564">
        <v>45070</v>
      </c>
      <c r="B564">
        <v>-7.7182329396567736E-3</v>
      </c>
    </row>
    <row r="565" spans="1:2" x14ac:dyDescent="0.35">
      <c r="A565">
        <v>45071</v>
      </c>
      <c r="B565">
        <v>-1.377449748417917E-3</v>
      </c>
    </row>
    <row r="566" spans="1:2" x14ac:dyDescent="0.35">
      <c r="A566">
        <v>45072</v>
      </c>
      <c r="B566">
        <v>1.0767378382459969E-2</v>
      </c>
    </row>
    <row r="567" spans="1:2" x14ac:dyDescent="0.35">
      <c r="A567">
        <v>45076</v>
      </c>
      <c r="B567">
        <v>-3.3363888402584128E-4</v>
      </c>
    </row>
    <row r="568" spans="1:2" x14ac:dyDescent="0.35">
      <c r="A568">
        <v>45077</v>
      </c>
      <c r="B568">
        <v>-2.7304059709545581E-3</v>
      </c>
    </row>
    <row r="569" spans="1:2" x14ac:dyDescent="0.35">
      <c r="A569">
        <v>45078</v>
      </c>
      <c r="B569">
        <v>8.7219097231805327E-3</v>
      </c>
    </row>
    <row r="570" spans="1:2" x14ac:dyDescent="0.35">
      <c r="A570">
        <v>45079</v>
      </c>
      <c r="B570">
        <v>7.876068172076367E-3</v>
      </c>
    </row>
    <row r="571" spans="1:2" x14ac:dyDescent="0.35">
      <c r="A571">
        <v>45082</v>
      </c>
      <c r="B571">
        <v>-2.4455945183359672E-3</v>
      </c>
    </row>
    <row r="572" spans="1:2" x14ac:dyDescent="0.35">
      <c r="A572">
        <v>45083</v>
      </c>
      <c r="B572">
        <v>5.6331406974043496E-3</v>
      </c>
    </row>
    <row r="573" spans="1:2" x14ac:dyDescent="0.35">
      <c r="A573">
        <v>45084</v>
      </c>
      <c r="B573">
        <v>-3.4205123737316751E-3</v>
      </c>
    </row>
    <row r="574" spans="1:2" x14ac:dyDescent="0.35">
      <c r="A574">
        <v>45085</v>
      </c>
      <c r="B574">
        <v>6.0496757209596748E-3</v>
      </c>
    </row>
    <row r="575" spans="1:2" x14ac:dyDescent="0.35">
      <c r="A575">
        <v>45086</v>
      </c>
      <c r="B575">
        <v>-1.794175225621383E-3</v>
      </c>
    </row>
    <row r="576" spans="1:2" x14ac:dyDescent="0.35">
      <c r="A576">
        <v>45089</v>
      </c>
      <c r="B576">
        <v>2.4051593084466081E-3</v>
      </c>
    </row>
    <row r="577" spans="1:2" x14ac:dyDescent="0.35">
      <c r="A577">
        <v>45090</v>
      </c>
      <c r="B577">
        <v>3.118712214913767E-3</v>
      </c>
    </row>
    <row r="578" spans="1:2" x14ac:dyDescent="0.35">
      <c r="A578">
        <v>45091</v>
      </c>
      <c r="B578">
        <v>2.3503001839609672E-3</v>
      </c>
    </row>
    <row r="579" spans="1:2" x14ac:dyDescent="0.35">
      <c r="A579">
        <v>45092</v>
      </c>
      <c r="B579">
        <v>9.7335296399829567E-3</v>
      </c>
    </row>
    <row r="580" spans="1:2" x14ac:dyDescent="0.35">
      <c r="A580">
        <v>45093</v>
      </c>
      <c r="B580">
        <v>-2.126988010845517E-3</v>
      </c>
    </row>
    <row r="581" spans="1:2" x14ac:dyDescent="0.35">
      <c r="A581">
        <v>45097</v>
      </c>
      <c r="B581">
        <v>-5.3326163610149333E-3</v>
      </c>
    </row>
    <row r="582" spans="1:2" x14ac:dyDescent="0.35">
      <c r="A582">
        <v>45098</v>
      </c>
      <c r="B582">
        <v>-1.455116353497941E-3</v>
      </c>
    </row>
    <row r="583" spans="1:2" x14ac:dyDescent="0.35">
      <c r="A583">
        <v>45099</v>
      </c>
      <c r="B583">
        <v>-5.8719486915374411E-3</v>
      </c>
    </row>
    <row r="584" spans="1:2" x14ac:dyDescent="0.35">
      <c r="A584">
        <v>45100</v>
      </c>
      <c r="B584">
        <v>-5.777417302411699E-3</v>
      </c>
    </row>
    <row r="585" spans="1:2" x14ac:dyDescent="0.35">
      <c r="A585">
        <v>45103</v>
      </c>
      <c r="B585">
        <v>1.618281788240417E-3</v>
      </c>
    </row>
    <row r="586" spans="1:2" x14ac:dyDescent="0.35">
      <c r="A586">
        <v>45104</v>
      </c>
      <c r="B586">
        <v>4.1042685669563086E-3</v>
      </c>
    </row>
    <row r="587" spans="1:2" x14ac:dyDescent="0.35">
      <c r="A587">
        <v>45105</v>
      </c>
      <c r="B587">
        <v>1.372921318638433E-3</v>
      </c>
    </row>
    <row r="588" spans="1:2" x14ac:dyDescent="0.35">
      <c r="A588">
        <v>45106</v>
      </c>
      <c r="B588">
        <v>-1.7745897695070081E-3</v>
      </c>
    </row>
    <row r="589" spans="1:2" x14ac:dyDescent="0.35">
      <c r="A589">
        <v>45107</v>
      </c>
      <c r="B589">
        <v>8.2477124683389327E-3</v>
      </c>
    </row>
    <row r="590" spans="1:2" x14ac:dyDescent="0.35">
      <c r="A590">
        <v>45110</v>
      </c>
      <c r="B590">
        <v>1.009437555260308E-3</v>
      </c>
    </row>
    <row r="591" spans="1:2" x14ac:dyDescent="0.35">
      <c r="A591">
        <v>45112</v>
      </c>
      <c r="B591">
        <v>-4.0267236957079256E-3</v>
      </c>
    </row>
    <row r="592" spans="1:2" x14ac:dyDescent="0.35">
      <c r="A592">
        <v>45113</v>
      </c>
      <c r="B592">
        <v>-1.0152884123791121E-2</v>
      </c>
    </row>
    <row r="593" spans="1:2" x14ac:dyDescent="0.35">
      <c r="A593">
        <v>45114</v>
      </c>
      <c r="B593">
        <v>2.4859725832126239E-3</v>
      </c>
    </row>
    <row r="594" spans="1:2" x14ac:dyDescent="0.35">
      <c r="A594">
        <v>45117</v>
      </c>
      <c r="B594">
        <v>3.9601473171011498E-3</v>
      </c>
    </row>
    <row r="595" spans="1:2" x14ac:dyDescent="0.35">
      <c r="A595">
        <v>45118</v>
      </c>
      <c r="B595">
        <v>7.3182814299576912E-3</v>
      </c>
    </row>
    <row r="596" spans="1:2" x14ac:dyDescent="0.35">
      <c r="A596">
        <v>45119</v>
      </c>
      <c r="B596">
        <v>1.1395284924857609E-2</v>
      </c>
    </row>
    <row r="597" spans="1:2" x14ac:dyDescent="0.35">
      <c r="A597">
        <v>45120</v>
      </c>
      <c r="B597">
        <v>9.5904145036343168E-3</v>
      </c>
    </row>
    <row r="598" spans="1:2" x14ac:dyDescent="0.35">
      <c r="A598">
        <v>45121</v>
      </c>
      <c r="B598">
        <v>-4.9649936093045331E-3</v>
      </c>
    </row>
    <row r="599" spans="1:2" x14ac:dyDescent="0.35">
      <c r="A599">
        <v>45124</v>
      </c>
      <c r="B599">
        <v>1.281917235054583E-3</v>
      </c>
    </row>
    <row r="600" spans="1:2" x14ac:dyDescent="0.35">
      <c r="A600">
        <v>45125</v>
      </c>
      <c r="B600">
        <v>4.7765110187842829E-3</v>
      </c>
    </row>
    <row r="601" spans="1:2" x14ac:dyDescent="0.35">
      <c r="A601">
        <v>45126</v>
      </c>
      <c r="B601">
        <v>3.4827801981889752E-3</v>
      </c>
    </row>
    <row r="602" spans="1:2" x14ac:dyDescent="0.35">
      <c r="A602">
        <v>45127</v>
      </c>
      <c r="B602">
        <v>-7.2895907625050334E-3</v>
      </c>
    </row>
    <row r="603" spans="1:2" x14ac:dyDescent="0.35">
      <c r="A603">
        <v>45128</v>
      </c>
      <c r="B603">
        <v>5.6737511151061667E-4</v>
      </c>
    </row>
    <row r="604" spans="1:2" x14ac:dyDescent="0.35">
      <c r="A604">
        <v>45131</v>
      </c>
      <c r="B604">
        <v>2.7163871086899158E-3</v>
      </c>
    </row>
    <row r="605" spans="1:2" x14ac:dyDescent="0.35">
      <c r="A605">
        <v>45132</v>
      </c>
      <c r="B605">
        <v>1.2437550917835331E-3</v>
      </c>
    </row>
    <row r="606" spans="1:2" x14ac:dyDescent="0.35">
      <c r="A606">
        <v>45133</v>
      </c>
      <c r="B606">
        <v>2.570077650796716E-3</v>
      </c>
    </row>
    <row r="607" spans="1:2" x14ac:dyDescent="0.35">
      <c r="A607">
        <v>45134</v>
      </c>
      <c r="B607">
        <v>-1.0574881646673419E-2</v>
      </c>
    </row>
    <row r="608" spans="1:2" x14ac:dyDescent="0.35">
      <c r="A608">
        <v>45135</v>
      </c>
      <c r="B608">
        <v>8.8565420673474751E-3</v>
      </c>
    </row>
    <row r="609" spans="1:2" x14ac:dyDescent="0.35">
      <c r="A609">
        <v>45138</v>
      </c>
      <c r="B609">
        <v>3.0727141315104582E-3</v>
      </c>
    </row>
    <row r="610" spans="1:2" x14ac:dyDescent="0.35">
      <c r="A610">
        <v>45139</v>
      </c>
      <c r="B610">
        <v>-7.4420017476779822E-3</v>
      </c>
    </row>
    <row r="611" spans="1:2" x14ac:dyDescent="0.35">
      <c r="A611">
        <v>45140</v>
      </c>
      <c r="B611">
        <v>-1.172249852126812E-2</v>
      </c>
    </row>
    <row r="612" spans="1:2" x14ac:dyDescent="0.35">
      <c r="A612">
        <v>45141</v>
      </c>
      <c r="B612">
        <v>-4.2049930453069333E-3</v>
      </c>
    </row>
    <row r="613" spans="1:2" x14ac:dyDescent="0.35">
      <c r="A613">
        <v>45142</v>
      </c>
      <c r="B613">
        <v>2.6790118517574751E-3</v>
      </c>
    </row>
    <row r="614" spans="1:2" x14ac:dyDescent="0.35">
      <c r="A614">
        <v>45145</v>
      </c>
      <c r="B614">
        <v>1.888005993839266E-3</v>
      </c>
    </row>
    <row r="615" spans="1:2" x14ac:dyDescent="0.35">
      <c r="A615">
        <v>45146</v>
      </c>
      <c r="B615">
        <v>-2.3733966326916168E-3</v>
      </c>
    </row>
    <row r="616" spans="1:2" x14ac:dyDescent="0.35">
      <c r="A616">
        <v>45147</v>
      </c>
      <c r="B616">
        <v>-1.1932252417218669E-3</v>
      </c>
    </row>
    <row r="617" spans="1:2" x14ac:dyDescent="0.35">
      <c r="A617">
        <v>45148</v>
      </c>
      <c r="B617">
        <v>-3.1733672490106171E-3</v>
      </c>
    </row>
    <row r="618" spans="1:2" x14ac:dyDescent="0.35">
      <c r="A618">
        <v>45149</v>
      </c>
      <c r="B618">
        <v>-3.2938220397331921E-3</v>
      </c>
    </row>
    <row r="619" spans="1:2" x14ac:dyDescent="0.35">
      <c r="A619">
        <v>45152</v>
      </c>
      <c r="B619">
        <v>-1.0906491998739171E-3</v>
      </c>
    </row>
    <row r="620" spans="1:2" x14ac:dyDescent="0.35">
      <c r="A620">
        <v>45153</v>
      </c>
      <c r="B620">
        <v>-8.464540097116658E-3</v>
      </c>
    </row>
    <row r="621" spans="1:2" x14ac:dyDescent="0.35">
      <c r="A621">
        <v>45154</v>
      </c>
      <c r="B621">
        <v>-7.4040443242528002E-3</v>
      </c>
    </row>
    <row r="622" spans="1:2" x14ac:dyDescent="0.35">
      <c r="A622">
        <v>45155</v>
      </c>
      <c r="B622">
        <v>-4.5483526213461094E-3</v>
      </c>
    </row>
    <row r="623" spans="1:2" x14ac:dyDescent="0.35">
      <c r="A623">
        <v>45156</v>
      </c>
      <c r="B623">
        <v>1.607669438998016E-3</v>
      </c>
    </row>
    <row r="624" spans="1:2" x14ac:dyDescent="0.35">
      <c r="A624">
        <v>45159</v>
      </c>
      <c r="B624">
        <v>-6.2311183097270024E-4</v>
      </c>
    </row>
    <row r="625" spans="1:2" x14ac:dyDescent="0.35">
      <c r="A625">
        <v>45160</v>
      </c>
      <c r="B625">
        <v>4.6948421687726663E-4</v>
      </c>
    </row>
    <row r="626" spans="1:2" x14ac:dyDescent="0.35">
      <c r="A626">
        <v>45161</v>
      </c>
      <c r="B626">
        <v>1.250891003478978E-2</v>
      </c>
    </row>
    <row r="627" spans="1:2" x14ac:dyDescent="0.35">
      <c r="A627">
        <v>45162</v>
      </c>
      <c r="B627">
        <v>-7.421961789048275E-3</v>
      </c>
    </row>
    <row r="628" spans="1:2" x14ac:dyDescent="0.35">
      <c r="A628">
        <v>45163</v>
      </c>
      <c r="B628">
        <v>3.6577735083666079E-3</v>
      </c>
    </row>
    <row r="629" spans="1:2" x14ac:dyDescent="0.35">
      <c r="A629">
        <v>45166</v>
      </c>
      <c r="B629">
        <v>5.3690830057711754E-3</v>
      </c>
    </row>
    <row r="630" spans="1:2" x14ac:dyDescent="0.35">
      <c r="A630">
        <v>45167</v>
      </c>
      <c r="B630">
        <v>1.106019699700489E-2</v>
      </c>
    </row>
    <row r="631" spans="1:2" x14ac:dyDescent="0.35">
      <c r="A631">
        <v>45168</v>
      </c>
      <c r="B631">
        <v>1.1703785204763E-3</v>
      </c>
    </row>
    <row r="632" spans="1:2" x14ac:dyDescent="0.35">
      <c r="A632">
        <v>45169</v>
      </c>
      <c r="B632">
        <v>-1.157057846494717E-3</v>
      </c>
    </row>
    <row r="633" spans="1:2" x14ac:dyDescent="0.35">
      <c r="A633">
        <v>45170</v>
      </c>
      <c r="B633">
        <v>9.1108115612638287E-4</v>
      </c>
    </row>
    <row r="634" spans="1:2" x14ac:dyDescent="0.35">
      <c r="A634">
        <v>45174</v>
      </c>
      <c r="B634">
        <v>-7.4656954496573422E-3</v>
      </c>
    </row>
    <row r="635" spans="1:2" x14ac:dyDescent="0.35">
      <c r="A635">
        <v>45175</v>
      </c>
      <c r="B635">
        <v>-2.8909509843546908E-3</v>
      </c>
    </row>
    <row r="636" spans="1:2" x14ac:dyDescent="0.35">
      <c r="A636">
        <v>45176</v>
      </c>
      <c r="B636">
        <v>-1.2991503241472501E-3</v>
      </c>
    </row>
    <row r="637" spans="1:2" x14ac:dyDescent="0.35">
      <c r="A637">
        <v>45177</v>
      </c>
      <c r="B637">
        <v>3.4724011909032502E-4</v>
      </c>
    </row>
    <row r="638" spans="1:2" x14ac:dyDescent="0.35">
      <c r="A638">
        <v>45180</v>
      </c>
      <c r="B638">
        <v>3.5332724196284501E-3</v>
      </c>
    </row>
    <row r="639" spans="1:2" x14ac:dyDescent="0.35">
      <c r="A639">
        <v>45181</v>
      </c>
      <c r="B639">
        <v>-1.7919494487348921E-3</v>
      </c>
    </row>
    <row r="640" spans="1:2" x14ac:dyDescent="0.35">
      <c r="A640">
        <v>45182</v>
      </c>
      <c r="B640">
        <v>-8.4968002380682479E-4</v>
      </c>
    </row>
    <row r="641" spans="1:2" x14ac:dyDescent="0.35">
      <c r="A641">
        <v>45183</v>
      </c>
      <c r="B641">
        <v>5.6287116203718752E-3</v>
      </c>
    </row>
    <row r="642" spans="1:2" x14ac:dyDescent="0.35">
      <c r="A642">
        <v>45184</v>
      </c>
      <c r="B642">
        <v>-4.9721519028512167E-3</v>
      </c>
    </row>
    <row r="643" spans="1:2" x14ac:dyDescent="0.35">
      <c r="A643">
        <v>45187</v>
      </c>
      <c r="B643">
        <v>-3.3067357651423351E-4</v>
      </c>
    </row>
    <row r="644" spans="1:2" x14ac:dyDescent="0.35">
      <c r="A644">
        <v>45188</v>
      </c>
      <c r="B644">
        <v>-2.9436231634358749E-3</v>
      </c>
    </row>
    <row r="645" spans="1:2" x14ac:dyDescent="0.35">
      <c r="A645">
        <v>45189</v>
      </c>
      <c r="B645">
        <v>-3.73398990912215E-3</v>
      </c>
    </row>
    <row r="646" spans="1:2" x14ac:dyDescent="0.35">
      <c r="A646">
        <v>45190</v>
      </c>
      <c r="B646">
        <v>-1.4921135014387851E-2</v>
      </c>
    </row>
    <row r="647" spans="1:2" x14ac:dyDescent="0.35">
      <c r="A647">
        <v>45191</v>
      </c>
      <c r="B647">
        <v>2.0484800127249831E-3</v>
      </c>
    </row>
    <row r="648" spans="1:2" x14ac:dyDescent="0.35">
      <c r="A648">
        <v>45194</v>
      </c>
      <c r="B648">
        <v>-4.1061828798372169E-3</v>
      </c>
    </row>
    <row r="649" spans="1:2" x14ac:dyDescent="0.35">
      <c r="A649">
        <v>45195</v>
      </c>
      <c r="B649">
        <v>-8.996480796560017E-3</v>
      </c>
    </row>
    <row r="650" spans="1:2" x14ac:dyDescent="0.35">
      <c r="A650">
        <v>45196</v>
      </c>
      <c r="B650">
        <v>-1.4505515091295751E-3</v>
      </c>
    </row>
    <row r="651" spans="1:2" x14ac:dyDescent="0.35">
      <c r="A651">
        <v>45197</v>
      </c>
      <c r="B651">
        <v>4.1448553679519912E-3</v>
      </c>
    </row>
    <row r="652" spans="1:2" x14ac:dyDescent="0.35">
      <c r="A652">
        <v>45198</v>
      </c>
      <c r="B652">
        <v>-2.4920117413494169E-3</v>
      </c>
    </row>
    <row r="653" spans="1:2" x14ac:dyDescent="0.35">
      <c r="A653">
        <v>45201</v>
      </c>
      <c r="B653">
        <v>-8.6153573775362667E-3</v>
      </c>
    </row>
    <row r="654" spans="1:2" x14ac:dyDescent="0.35">
      <c r="A654">
        <v>45202</v>
      </c>
      <c r="B654">
        <v>-1.26533355227227E-2</v>
      </c>
    </row>
    <row r="655" spans="1:2" x14ac:dyDescent="0.35">
      <c r="A655">
        <v>45203</v>
      </c>
      <c r="B655">
        <v>3.219856855036399E-3</v>
      </c>
    </row>
    <row r="656" spans="1:2" x14ac:dyDescent="0.35">
      <c r="A656">
        <v>45204</v>
      </c>
      <c r="B656">
        <v>3.7844957765733342E-4</v>
      </c>
    </row>
    <row r="657" spans="1:2" x14ac:dyDescent="0.35">
      <c r="A657">
        <v>45205</v>
      </c>
      <c r="B657">
        <v>4.6543529490645497E-3</v>
      </c>
    </row>
    <row r="658" spans="1:2" x14ac:dyDescent="0.35">
      <c r="A658">
        <v>45208</v>
      </c>
      <c r="B658">
        <v>9.7768108526093585E-3</v>
      </c>
    </row>
    <row r="659" spans="1:2" x14ac:dyDescent="0.35">
      <c r="A659">
        <v>45209</v>
      </c>
      <c r="B659">
        <v>3.9640511814294909E-3</v>
      </c>
    </row>
    <row r="660" spans="1:2" x14ac:dyDescent="0.35">
      <c r="A660">
        <v>45210</v>
      </c>
      <c r="B660">
        <v>5.9387560885606084E-3</v>
      </c>
    </row>
    <row r="661" spans="1:2" x14ac:dyDescent="0.35">
      <c r="A661">
        <v>45211</v>
      </c>
      <c r="B661">
        <v>-1.0183799011610361E-2</v>
      </c>
    </row>
    <row r="662" spans="1:2" x14ac:dyDescent="0.35">
      <c r="A662">
        <v>45212</v>
      </c>
      <c r="B662">
        <v>3.8552546216473081E-3</v>
      </c>
    </row>
    <row r="663" spans="1:2" x14ac:dyDescent="0.35">
      <c r="A663">
        <v>45215</v>
      </c>
      <c r="B663">
        <v>2.277295702486133E-3</v>
      </c>
    </row>
    <row r="664" spans="1:2" x14ac:dyDescent="0.35">
      <c r="A664">
        <v>45216</v>
      </c>
      <c r="B664">
        <v>-2.0352532726745439E-3</v>
      </c>
    </row>
    <row r="665" spans="1:2" x14ac:dyDescent="0.35">
      <c r="A665">
        <v>45217</v>
      </c>
      <c r="B665">
        <v>-8.6578530240097491E-3</v>
      </c>
    </row>
    <row r="666" spans="1:2" x14ac:dyDescent="0.35">
      <c r="A666">
        <v>45218</v>
      </c>
      <c r="B666">
        <v>-7.2449446499081409E-3</v>
      </c>
    </row>
    <row r="667" spans="1:2" x14ac:dyDescent="0.35">
      <c r="A667">
        <v>45219</v>
      </c>
      <c r="B667">
        <v>-4.5886172609336416E-3</v>
      </c>
    </row>
    <row r="668" spans="1:2" x14ac:dyDescent="0.35">
      <c r="A668">
        <v>45222</v>
      </c>
      <c r="B668">
        <v>1.4500927556920849E-4</v>
      </c>
    </row>
    <row r="669" spans="1:2" x14ac:dyDescent="0.35">
      <c r="A669">
        <v>45223</v>
      </c>
      <c r="B669">
        <v>6.0087962975390336E-3</v>
      </c>
    </row>
    <row r="670" spans="1:2" x14ac:dyDescent="0.35">
      <c r="A670">
        <v>45224</v>
      </c>
      <c r="B670">
        <v>-1.0930717020078289E-2</v>
      </c>
    </row>
    <row r="671" spans="1:2" x14ac:dyDescent="0.35">
      <c r="A671">
        <v>45225</v>
      </c>
      <c r="B671">
        <v>4.4775183951424152E-4</v>
      </c>
    </row>
    <row r="672" spans="1:2" x14ac:dyDescent="0.35">
      <c r="A672">
        <v>45226</v>
      </c>
      <c r="B672">
        <v>-1.024181521809425E-3</v>
      </c>
    </row>
    <row r="673" spans="1:2" x14ac:dyDescent="0.35">
      <c r="A673">
        <v>45229</v>
      </c>
      <c r="B673">
        <v>2.169600455985275E-3</v>
      </c>
    </row>
    <row r="674" spans="1:2" x14ac:dyDescent="0.35">
      <c r="A674">
        <v>45230</v>
      </c>
      <c r="B674">
        <v>1.6445691003992579E-3</v>
      </c>
    </row>
    <row r="675" spans="1:2" x14ac:dyDescent="0.35">
      <c r="A675">
        <v>45231</v>
      </c>
      <c r="B675">
        <v>9.5090296527235406E-3</v>
      </c>
    </row>
    <row r="676" spans="1:2" x14ac:dyDescent="0.35">
      <c r="A676">
        <v>45232</v>
      </c>
      <c r="B676">
        <v>1.67358790539637E-2</v>
      </c>
    </row>
    <row r="677" spans="1:2" x14ac:dyDescent="0.35">
      <c r="A677">
        <v>45233</v>
      </c>
      <c r="B677">
        <v>1.087930498239836E-2</v>
      </c>
    </row>
    <row r="678" spans="1:2" x14ac:dyDescent="0.35">
      <c r="A678">
        <v>45236</v>
      </c>
      <c r="B678">
        <v>-3.8389784933884909E-3</v>
      </c>
    </row>
    <row r="679" spans="1:2" x14ac:dyDescent="0.35">
      <c r="A679">
        <v>45237</v>
      </c>
      <c r="B679">
        <v>-3.5795644450113288E-4</v>
      </c>
    </row>
    <row r="680" spans="1:2" x14ac:dyDescent="0.35">
      <c r="A680">
        <v>45238</v>
      </c>
      <c r="B680">
        <v>-7.0088938209415829E-4</v>
      </c>
    </row>
    <row r="681" spans="1:2" x14ac:dyDescent="0.35">
      <c r="A681">
        <v>45239</v>
      </c>
      <c r="B681">
        <v>-8.6667015647762923E-3</v>
      </c>
    </row>
    <row r="682" spans="1:2" x14ac:dyDescent="0.35">
      <c r="A682">
        <v>45240</v>
      </c>
      <c r="B682">
        <v>6.7432666573077251E-3</v>
      </c>
    </row>
    <row r="683" spans="1:2" x14ac:dyDescent="0.35">
      <c r="A683">
        <v>45243</v>
      </c>
      <c r="B683">
        <v>5.6279798499408941E-4</v>
      </c>
    </row>
    <row r="684" spans="1:2" x14ac:dyDescent="0.35">
      <c r="A684">
        <v>45244</v>
      </c>
      <c r="B684">
        <v>2.2855485465667069E-2</v>
      </c>
    </row>
    <row r="685" spans="1:2" x14ac:dyDescent="0.35">
      <c r="A685">
        <v>45245</v>
      </c>
      <c r="B685">
        <v>-2.0906822585779251E-3</v>
      </c>
    </row>
    <row r="686" spans="1:2" x14ac:dyDescent="0.35">
      <c r="A686">
        <v>45246</v>
      </c>
      <c r="B686">
        <v>-8.0664460140846689E-4</v>
      </c>
    </row>
    <row r="687" spans="1:2" x14ac:dyDescent="0.35">
      <c r="A687">
        <v>45247</v>
      </c>
      <c r="B687">
        <v>4.5019947651998831E-3</v>
      </c>
    </row>
    <row r="688" spans="1:2" x14ac:dyDescent="0.35">
      <c r="A688">
        <v>45250</v>
      </c>
      <c r="B688">
        <v>6.0619095588576918E-3</v>
      </c>
    </row>
    <row r="689" spans="1:2" x14ac:dyDescent="0.35">
      <c r="A689">
        <v>45251</v>
      </c>
      <c r="B689">
        <v>-1.5837880123074251E-3</v>
      </c>
    </row>
    <row r="690" spans="1:2" x14ac:dyDescent="0.35">
      <c r="A690">
        <v>45252</v>
      </c>
      <c r="B690">
        <v>1.2980995599981161E-3</v>
      </c>
    </row>
    <row r="691" spans="1:2" x14ac:dyDescent="0.35">
      <c r="A691">
        <v>45254</v>
      </c>
      <c r="B691">
        <v>-6.319711069559667E-4</v>
      </c>
    </row>
    <row r="692" spans="1:2" x14ac:dyDescent="0.35">
      <c r="A692">
        <v>45257</v>
      </c>
      <c r="B692">
        <v>2.0061986571509329E-3</v>
      </c>
    </row>
    <row r="693" spans="1:2" x14ac:dyDescent="0.35">
      <c r="A693">
        <v>45258</v>
      </c>
      <c r="B693">
        <v>4.6056305477927828E-3</v>
      </c>
    </row>
    <row r="694" spans="1:2" x14ac:dyDescent="0.35">
      <c r="A694">
        <v>45259</v>
      </c>
      <c r="B694">
        <v>3.8933382756184249E-3</v>
      </c>
    </row>
    <row r="695" spans="1:2" x14ac:dyDescent="0.35">
      <c r="A695">
        <v>45260</v>
      </c>
      <c r="B695">
        <v>-2.572663569489742E-3</v>
      </c>
    </row>
    <row r="696" spans="1:2" x14ac:dyDescent="0.35">
      <c r="A696">
        <v>45261</v>
      </c>
      <c r="B696">
        <v>1.1553122728646739E-2</v>
      </c>
    </row>
    <row r="697" spans="1:2" x14ac:dyDescent="0.35">
      <c r="A697">
        <v>45264</v>
      </c>
      <c r="B697">
        <v>-4.9326368521666157E-3</v>
      </c>
    </row>
    <row r="698" spans="1:2" x14ac:dyDescent="0.35">
      <c r="A698">
        <v>45265</v>
      </c>
      <c r="B698">
        <v>-2.191980779632247E-4</v>
      </c>
    </row>
    <row r="699" spans="1:2" x14ac:dyDescent="0.35">
      <c r="A699">
        <v>45266</v>
      </c>
      <c r="B699">
        <v>-1.013593430857042E-3</v>
      </c>
    </row>
    <row r="700" spans="1:2" x14ac:dyDescent="0.35">
      <c r="A700">
        <v>45267</v>
      </c>
      <c r="B700">
        <v>3.2823806202510121E-3</v>
      </c>
    </row>
    <row r="701" spans="1:2" x14ac:dyDescent="0.35">
      <c r="A701">
        <v>45268</v>
      </c>
      <c r="B701">
        <v>-1.465502422454525E-3</v>
      </c>
    </row>
    <row r="702" spans="1:2" x14ac:dyDescent="0.35">
      <c r="A702">
        <v>45271</v>
      </c>
      <c r="B702">
        <v>6.7977575018230828E-4</v>
      </c>
    </row>
    <row r="703" spans="1:2" x14ac:dyDescent="0.35">
      <c r="A703">
        <v>45272</v>
      </c>
      <c r="B703">
        <v>8.4625744536243367E-4</v>
      </c>
    </row>
    <row r="704" spans="1:2" x14ac:dyDescent="0.35">
      <c r="A704">
        <v>45273</v>
      </c>
      <c r="B704">
        <v>1.8967200144018911E-2</v>
      </c>
    </row>
    <row r="705" spans="1:2" x14ac:dyDescent="0.35">
      <c r="A705">
        <v>45274</v>
      </c>
      <c r="B705">
        <v>1.274234544195013E-2</v>
      </c>
    </row>
    <row r="706" spans="1:2" x14ac:dyDescent="0.35">
      <c r="A706">
        <v>45275</v>
      </c>
      <c r="B706">
        <v>-3.8165189390712579E-3</v>
      </c>
    </row>
    <row r="707" spans="1:2" x14ac:dyDescent="0.35">
      <c r="A707">
        <v>45278</v>
      </c>
      <c r="B707">
        <v>8.3173664003638329E-4</v>
      </c>
    </row>
    <row r="708" spans="1:2" x14ac:dyDescent="0.35">
      <c r="A708">
        <v>45279</v>
      </c>
      <c r="B708">
        <v>6.7475391712407172E-3</v>
      </c>
    </row>
    <row r="709" spans="1:2" x14ac:dyDescent="0.35">
      <c r="A709">
        <v>45280</v>
      </c>
      <c r="B709">
        <v>-7.5924331642211827E-3</v>
      </c>
    </row>
    <row r="710" spans="1:2" x14ac:dyDescent="0.35">
      <c r="A710">
        <v>45281</v>
      </c>
      <c r="B710">
        <v>7.2626076273287826E-3</v>
      </c>
    </row>
    <row r="711" spans="1:2" x14ac:dyDescent="0.35">
      <c r="A711">
        <v>45282</v>
      </c>
      <c r="B711">
        <v>5.9354291692915832E-4</v>
      </c>
    </row>
    <row r="712" spans="1:2" x14ac:dyDescent="0.35">
      <c r="A712">
        <v>45286</v>
      </c>
      <c r="B712">
        <v>5.6825169546324081E-3</v>
      </c>
    </row>
    <row r="713" spans="1:2" x14ac:dyDescent="0.35">
      <c r="A713">
        <v>45287</v>
      </c>
      <c r="B713">
        <v>5.2012192506601584E-3</v>
      </c>
    </row>
    <row r="714" spans="1:2" x14ac:dyDescent="0.35">
      <c r="A714">
        <v>45288</v>
      </c>
      <c r="B714">
        <v>-1.909336160124933E-3</v>
      </c>
    </row>
    <row r="715" spans="1:2" x14ac:dyDescent="0.35">
      <c r="A715">
        <v>45289</v>
      </c>
      <c r="B715">
        <v>-5.0724687954878918E-3</v>
      </c>
    </row>
    <row r="716" spans="1:2" x14ac:dyDescent="0.35">
      <c r="A716">
        <v>45293</v>
      </c>
      <c r="B716">
        <v>-6.0699635043510169E-3</v>
      </c>
    </row>
    <row r="717" spans="1:2" x14ac:dyDescent="0.35">
      <c r="A717">
        <v>45294</v>
      </c>
      <c r="B717">
        <v>-6.3603921777281077E-3</v>
      </c>
    </row>
    <row r="718" spans="1:2" x14ac:dyDescent="0.35">
      <c r="A718">
        <v>45295</v>
      </c>
      <c r="B718">
        <v>-4.0210067676334079E-3</v>
      </c>
    </row>
    <row r="719" spans="1:2" x14ac:dyDescent="0.35">
      <c r="A719">
        <v>45296</v>
      </c>
      <c r="B719">
        <v>-9.8647364351873317E-4</v>
      </c>
    </row>
    <row r="720" spans="1:2" x14ac:dyDescent="0.35">
      <c r="A720">
        <v>45299</v>
      </c>
      <c r="B720">
        <v>7.0751210274219659E-3</v>
      </c>
    </row>
    <row r="721" spans="1:2" x14ac:dyDescent="0.35">
      <c r="A721">
        <v>45300</v>
      </c>
      <c r="B721">
        <v>-2.8457638293781749E-3</v>
      </c>
    </row>
    <row r="722" spans="1:2" x14ac:dyDescent="0.35">
      <c r="A722">
        <v>45301</v>
      </c>
      <c r="B722">
        <v>2.9094536537925818E-4</v>
      </c>
    </row>
    <row r="723" spans="1:2" x14ac:dyDescent="0.35">
      <c r="A723">
        <v>45302</v>
      </c>
      <c r="B723">
        <v>1.502027380950641E-3</v>
      </c>
    </row>
    <row r="724" spans="1:2" x14ac:dyDescent="0.35">
      <c r="A724">
        <v>45303</v>
      </c>
      <c r="B724">
        <v>2.556505480311483E-3</v>
      </c>
    </row>
    <row r="725" spans="1:2" x14ac:dyDescent="0.35">
      <c r="A725">
        <v>45307</v>
      </c>
      <c r="B725">
        <v>-1.0397832820994889E-2</v>
      </c>
    </row>
    <row r="726" spans="1:2" x14ac:dyDescent="0.35">
      <c r="A726">
        <v>45308</v>
      </c>
      <c r="B726">
        <v>-7.0489721583195334E-3</v>
      </c>
    </row>
    <row r="727" spans="1:2" x14ac:dyDescent="0.35">
      <c r="A727">
        <v>45309</v>
      </c>
      <c r="B727">
        <v>3.6659029476214001E-3</v>
      </c>
    </row>
    <row r="728" spans="1:2" x14ac:dyDescent="0.35">
      <c r="A728">
        <v>45310</v>
      </c>
      <c r="B728">
        <v>6.1559203788316332E-3</v>
      </c>
    </row>
    <row r="729" spans="1:2" x14ac:dyDescent="0.35">
      <c r="A729">
        <v>45313</v>
      </c>
      <c r="B729">
        <v>3.1554737866171831E-3</v>
      </c>
    </row>
    <row r="730" spans="1:2" x14ac:dyDescent="0.35">
      <c r="A730">
        <v>45314</v>
      </c>
      <c r="B730">
        <v>-2.3197204762411661E-4</v>
      </c>
    </row>
    <row r="731" spans="1:2" x14ac:dyDescent="0.35">
      <c r="A731">
        <v>45315</v>
      </c>
      <c r="B731">
        <v>-6.5932995911506661E-4</v>
      </c>
    </row>
    <row r="732" spans="1:2" x14ac:dyDescent="0.35">
      <c r="A732">
        <v>45316</v>
      </c>
      <c r="B732">
        <v>5.7177324828329833E-3</v>
      </c>
    </row>
    <row r="733" spans="1:2" x14ac:dyDescent="0.35">
      <c r="A733">
        <v>45317</v>
      </c>
      <c r="B733">
        <v>-6.9728285066610279E-4</v>
      </c>
    </row>
    <row r="734" spans="1:2" x14ac:dyDescent="0.35">
      <c r="A734">
        <v>45320</v>
      </c>
      <c r="B734">
        <v>5.926736075527116E-3</v>
      </c>
    </row>
    <row r="735" spans="1:2" x14ac:dyDescent="0.35">
      <c r="A735">
        <v>45321</v>
      </c>
      <c r="B735">
        <v>-1.183018996557358E-3</v>
      </c>
    </row>
    <row r="736" spans="1:2" x14ac:dyDescent="0.35">
      <c r="A736">
        <v>45322</v>
      </c>
      <c r="B736">
        <v>-6.1544832577136166E-3</v>
      </c>
    </row>
    <row r="737" spans="1:2" x14ac:dyDescent="0.35">
      <c r="A737">
        <v>45323</v>
      </c>
      <c r="B737">
        <v>9.4475197952485906E-3</v>
      </c>
    </row>
    <row r="738" spans="1:2" x14ac:dyDescent="0.35">
      <c r="A738">
        <v>45324</v>
      </c>
      <c r="B738">
        <v>-5.878579392426057E-3</v>
      </c>
    </row>
    <row r="739" spans="1:2" x14ac:dyDescent="0.35">
      <c r="A739">
        <v>45327</v>
      </c>
      <c r="B739">
        <v>-7.3517070951692326E-3</v>
      </c>
    </row>
    <row r="740" spans="1:2" x14ac:dyDescent="0.35">
      <c r="A740">
        <v>45328</v>
      </c>
      <c r="B740">
        <v>7.1289490960958586E-3</v>
      </c>
    </row>
    <row r="741" spans="1:2" x14ac:dyDescent="0.35">
      <c r="A741">
        <v>45329</v>
      </c>
      <c r="B741">
        <v>1.0014527340111751E-3</v>
      </c>
    </row>
    <row r="742" spans="1:2" x14ac:dyDescent="0.35">
      <c r="A742">
        <v>45330</v>
      </c>
      <c r="B742">
        <v>6.7552173462066671E-4</v>
      </c>
    </row>
    <row r="743" spans="1:2" x14ac:dyDescent="0.35">
      <c r="A743">
        <v>45331</v>
      </c>
      <c r="B743">
        <v>3.0830360185581749E-3</v>
      </c>
    </row>
    <row r="744" spans="1:2" x14ac:dyDescent="0.35">
      <c r="A744">
        <v>45334</v>
      </c>
      <c r="B744">
        <v>1.788410110039802E-3</v>
      </c>
    </row>
    <row r="745" spans="1:2" x14ac:dyDescent="0.35">
      <c r="A745">
        <v>45335</v>
      </c>
      <c r="B745">
        <v>-1.6008146979319769E-2</v>
      </c>
    </row>
    <row r="746" spans="1:2" x14ac:dyDescent="0.35">
      <c r="A746">
        <v>45336</v>
      </c>
      <c r="B746">
        <v>6.9916396210734991E-3</v>
      </c>
    </row>
    <row r="747" spans="1:2" x14ac:dyDescent="0.35">
      <c r="A747">
        <v>45337</v>
      </c>
      <c r="B747">
        <v>8.3349083955836407E-3</v>
      </c>
    </row>
    <row r="748" spans="1:2" x14ac:dyDescent="0.35">
      <c r="A748">
        <v>45338</v>
      </c>
      <c r="B748">
        <v>-3.535589634354967E-3</v>
      </c>
    </row>
    <row r="749" spans="1:2" x14ac:dyDescent="0.35">
      <c r="A749">
        <v>45342</v>
      </c>
      <c r="B749">
        <v>-1.202408444788575E-3</v>
      </c>
    </row>
    <row r="750" spans="1:2" x14ac:dyDescent="0.35">
      <c r="A750">
        <v>45343</v>
      </c>
      <c r="B750">
        <v>-8.4798648362703892E-4</v>
      </c>
    </row>
    <row r="751" spans="1:2" x14ac:dyDescent="0.35">
      <c r="A751">
        <v>45344</v>
      </c>
      <c r="B751">
        <v>7.9515098055341731E-3</v>
      </c>
    </row>
    <row r="752" spans="1:2" x14ac:dyDescent="0.35">
      <c r="A752">
        <v>45345</v>
      </c>
      <c r="B752">
        <v>1.089531706708541E-3</v>
      </c>
    </row>
    <row r="753" spans="1:2" x14ac:dyDescent="0.35">
      <c r="A753">
        <v>45348</v>
      </c>
      <c r="B753">
        <v>-1.548597528515983E-3</v>
      </c>
    </row>
    <row r="754" spans="1:2" x14ac:dyDescent="0.35">
      <c r="A754">
        <v>45349</v>
      </c>
      <c r="B754">
        <v>1.801796063672517E-3</v>
      </c>
    </row>
    <row r="755" spans="1:2" x14ac:dyDescent="0.35">
      <c r="A755">
        <v>45350</v>
      </c>
      <c r="B755">
        <v>-1.3465805842409911E-3</v>
      </c>
    </row>
    <row r="756" spans="1:2" x14ac:dyDescent="0.35">
      <c r="A756">
        <v>45351</v>
      </c>
      <c r="B756">
        <v>3.8604879052672831E-3</v>
      </c>
    </row>
    <row r="757" spans="1:2" x14ac:dyDescent="0.35">
      <c r="A757">
        <v>45352</v>
      </c>
      <c r="B757">
        <v>9.4561436885408825E-3</v>
      </c>
    </row>
    <row r="758" spans="1:2" x14ac:dyDescent="0.35">
      <c r="A758">
        <v>45355</v>
      </c>
      <c r="B758">
        <v>8.3249921413178294E-4</v>
      </c>
    </row>
    <row r="759" spans="1:2" x14ac:dyDescent="0.35">
      <c r="A759">
        <v>45356</v>
      </c>
      <c r="B759">
        <v>-3.0761693273859249E-3</v>
      </c>
    </row>
    <row r="760" spans="1:2" x14ac:dyDescent="0.35">
      <c r="A760">
        <v>45357</v>
      </c>
      <c r="B760">
        <v>6.6635980449453579E-3</v>
      </c>
    </row>
    <row r="761" spans="1:2" x14ac:dyDescent="0.35">
      <c r="A761">
        <v>45358</v>
      </c>
      <c r="B761">
        <v>5.3319613665037662E-3</v>
      </c>
    </row>
    <row r="762" spans="1:2" x14ac:dyDescent="0.35">
      <c r="A762">
        <v>45359</v>
      </c>
      <c r="B762">
        <v>-6.5671224695875005E-4</v>
      </c>
    </row>
    <row r="763" spans="1:2" x14ac:dyDescent="0.35">
      <c r="A763">
        <v>45362</v>
      </c>
      <c r="B763">
        <v>-1.007148439278816E-3</v>
      </c>
    </row>
    <row r="764" spans="1:2" x14ac:dyDescent="0.35">
      <c r="A764">
        <v>45363</v>
      </c>
      <c r="B764">
        <v>1.012950428976358E-3</v>
      </c>
    </row>
    <row r="765" spans="1:2" x14ac:dyDescent="0.35">
      <c r="A765">
        <v>45364</v>
      </c>
      <c r="B765">
        <v>-1.653590528799976E-5</v>
      </c>
    </row>
    <row r="766" spans="1:2" x14ac:dyDescent="0.35">
      <c r="A766">
        <v>45365</v>
      </c>
      <c r="B766">
        <v>-7.1470270521187583E-3</v>
      </c>
    </row>
    <row r="767" spans="1:2" x14ac:dyDescent="0.35">
      <c r="A767">
        <v>45366</v>
      </c>
      <c r="B767">
        <v>-2.2398353595412079E-3</v>
      </c>
    </row>
    <row r="768" spans="1:2" x14ac:dyDescent="0.35">
      <c r="A768">
        <v>45369</v>
      </c>
      <c r="B768">
        <v>1.582560106730592E-3</v>
      </c>
    </row>
    <row r="769" spans="1:2" x14ac:dyDescent="0.35">
      <c r="A769">
        <v>45370</v>
      </c>
      <c r="B769">
        <v>1.6498547059279249E-3</v>
      </c>
    </row>
    <row r="770" spans="1:2" x14ac:dyDescent="0.35">
      <c r="A770">
        <v>45371</v>
      </c>
      <c r="B770">
        <v>7.1622840863119651E-3</v>
      </c>
    </row>
    <row r="771" spans="1:2" x14ac:dyDescent="0.35">
      <c r="A771">
        <v>45372</v>
      </c>
      <c r="B771">
        <v>2.3622991715990002E-3</v>
      </c>
    </row>
    <row r="772" spans="1:2" x14ac:dyDescent="0.35">
      <c r="A772">
        <v>45373</v>
      </c>
      <c r="B772">
        <v>-2.874554313102949E-3</v>
      </c>
    </row>
    <row r="773" spans="1:2" x14ac:dyDescent="0.35">
      <c r="A773">
        <v>45376</v>
      </c>
      <c r="B773">
        <v>-1.0570059065564501E-3</v>
      </c>
    </row>
    <row r="774" spans="1:2" x14ac:dyDescent="0.35">
      <c r="A774">
        <v>45377</v>
      </c>
      <c r="B774">
        <v>-1.0274009842506919E-3</v>
      </c>
    </row>
    <row r="775" spans="1:2" x14ac:dyDescent="0.35">
      <c r="A775">
        <v>45378</v>
      </c>
      <c r="B775">
        <v>8.2880553062535424E-3</v>
      </c>
    </row>
    <row r="776" spans="1:2" x14ac:dyDescent="0.35">
      <c r="A776">
        <v>45379</v>
      </c>
      <c r="B776">
        <v>2.4611908495849669E-3</v>
      </c>
    </row>
    <row r="777" spans="1:2" x14ac:dyDescent="0.35">
      <c r="A777">
        <v>45383</v>
      </c>
      <c r="B777">
        <v>-4.558295513699016E-3</v>
      </c>
    </row>
    <row r="778" spans="1:2" x14ac:dyDescent="0.35">
      <c r="A778">
        <v>45384</v>
      </c>
      <c r="B778">
        <v>-3.0661971079439078E-3</v>
      </c>
    </row>
    <row r="779" spans="1:2" x14ac:dyDescent="0.35">
      <c r="A779">
        <v>45385</v>
      </c>
      <c r="B779">
        <v>3.371283173130517E-3</v>
      </c>
    </row>
    <row r="780" spans="1:2" x14ac:dyDescent="0.35">
      <c r="A780">
        <v>45386</v>
      </c>
      <c r="B780">
        <v>-4.0316157684446912E-3</v>
      </c>
    </row>
    <row r="781" spans="1:2" x14ac:dyDescent="0.35">
      <c r="A781">
        <v>45387</v>
      </c>
      <c r="B781">
        <v>2.7047775729254998E-3</v>
      </c>
    </row>
    <row r="782" spans="1:2" x14ac:dyDescent="0.35">
      <c r="A782">
        <v>45390</v>
      </c>
      <c r="B782">
        <v>2.8526751788122808E-3</v>
      </c>
    </row>
    <row r="783" spans="1:2" x14ac:dyDescent="0.35">
      <c r="A783">
        <v>45391</v>
      </c>
      <c r="B783">
        <v>4.1045816576258248E-3</v>
      </c>
    </row>
    <row r="784" spans="1:2" x14ac:dyDescent="0.35">
      <c r="A784">
        <v>45392</v>
      </c>
      <c r="B784">
        <v>-1.466072052173369E-2</v>
      </c>
    </row>
    <row r="785" spans="1:2" x14ac:dyDescent="0.35">
      <c r="A785">
        <v>45393</v>
      </c>
      <c r="B785">
        <v>4.2689546667120833E-3</v>
      </c>
    </row>
    <row r="786" spans="1:2" x14ac:dyDescent="0.35">
      <c r="A786">
        <v>45394</v>
      </c>
      <c r="B786">
        <v>-8.2684359477602741E-3</v>
      </c>
    </row>
    <row r="787" spans="1:2" x14ac:dyDescent="0.35">
      <c r="A787">
        <v>45397</v>
      </c>
      <c r="B787">
        <v>-7.3946517996537004E-3</v>
      </c>
    </row>
    <row r="788" spans="1:2" x14ac:dyDescent="0.35">
      <c r="A788">
        <v>45398</v>
      </c>
      <c r="B788">
        <v>-5.0134634388546819E-3</v>
      </c>
    </row>
    <row r="789" spans="1:2" x14ac:dyDescent="0.35">
      <c r="A789">
        <v>45399</v>
      </c>
      <c r="B789">
        <v>-2.9047189166080999E-3</v>
      </c>
    </row>
    <row r="790" spans="1:2" x14ac:dyDescent="0.35">
      <c r="A790">
        <v>45400</v>
      </c>
      <c r="B790">
        <v>-1.1606889078493081E-3</v>
      </c>
    </row>
    <row r="791" spans="1:2" x14ac:dyDescent="0.35">
      <c r="A791">
        <v>45401</v>
      </c>
      <c r="B791">
        <v>-9.1618001192736638E-4</v>
      </c>
    </row>
    <row r="792" spans="1:2" x14ac:dyDescent="0.35">
      <c r="A792">
        <v>45404</v>
      </c>
      <c r="B792">
        <v>3.6298865809092909E-3</v>
      </c>
    </row>
    <row r="793" spans="1:2" x14ac:dyDescent="0.35">
      <c r="A793">
        <v>45405</v>
      </c>
      <c r="B793">
        <v>6.7534411307144417E-3</v>
      </c>
    </row>
    <row r="794" spans="1:2" x14ac:dyDescent="0.35">
      <c r="A794">
        <v>45406</v>
      </c>
      <c r="B794">
        <v>-1.4612154920103501E-3</v>
      </c>
    </row>
    <row r="795" spans="1:2" x14ac:dyDescent="0.35">
      <c r="A795">
        <v>45407</v>
      </c>
      <c r="B795">
        <v>-2.267357196277125E-3</v>
      </c>
    </row>
    <row r="796" spans="1:2" x14ac:dyDescent="0.35">
      <c r="A796">
        <v>45408</v>
      </c>
      <c r="B796">
        <v>6.1306324997636328E-3</v>
      </c>
    </row>
    <row r="797" spans="1:2" x14ac:dyDescent="0.35">
      <c r="A797">
        <v>45411</v>
      </c>
      <c r="B797">
        <v>4.6835357651545248E-3</v>
      </c>
    </row>
    <row r="798" spans="1:2" x14ac:dyDescent="0.35">
      <c r="A798">
        <v>45412</v>
      </c>
      <c r="B798">
        <v>-1.309600660580316E-2</v>
      </c>
    </row>
    <row r="799" spans="1:2" x14ac:dyDescent="0.35">
      <c r="A799">
        <v>45413</v>
      </c>
      <c r="B799">
        <v>5.0196958685069196E-4</v>
      </c>
    </row>
    <row r="800" spans="1:2" x14ac:dyDescent="0.35">
      <c r="A800">
        <v>45414</v>
      </c>
      <c r="B800">
        <v>9.6353638161731162E-3</v>
      </c>
    </row>
    <row r="801" spans="1:2" x14ac:dyDescent="0.35">
      <c r="A801">
        <v>45415</v>
      </c>
      <c r="B801">
        <v>7.9528959839736246E-3</v>
      </c>
    </row>
    <row r="802" spans="1:2" x14ac:dyDescent="0.35">
      <c r="A802">
        <v>45418</v>
      </c>
      <c r="B802">
        <v>6.1141373647035663E-3</v>
      </c>
    </row>
    <row r="803" spans="1:2" x14ac:dyDescent="0.35">
      <c r="A803">
        <v>45419</v>
      </c>
      <c r="B803">
        <v>1.1504770311318499E-3</v>
      </c>
    </row>
    <row r="804" spans="1:2" x14ac:dyDescent="0.35">
      <c r="A804">
        <v>45420</v>
      </c>
      <c r="B804">
        <v>-3.1165595579316671E-3</v>
      </c>
    </row>
    <row r="805" spans="1:2" x14ac:dyDescent="0.35">
      <c r="A805">
        <v>45421</v>
      </c>
      <c r="B805">
        <v>6.5673558489352914E-3</v>
      </c>
    </row>
    <row r="806" spans="1:2" x14ac:dyDescent="0.35">
      <c r="A806">
        <v>45422</v>
      </c>
      <c r="B806">
        <v>-8.2215781212304168E-4</v>
      </c>
    </row>
    <row r="807" spans="1:2" x14ac:dyDescent="0.35">
      <c r="A807">
        <v>45425</v>
      </c>
      <c r="B807">
        <v>1.2026304671563829E-3</v>
      </c>
    </row>
    <row r="808" spans="1:2" x14ac:dyDescent="0.35">
      <c r="A808">
        <v>45426</v>
      </c>
      <c r="B808">
        <v>4.9283926275902751E-3</v>
      </c>
    </row>
    <row r="809" spans="1:2" x14ac:dyDescent="0.35">
      <c r="A809">
        <v>45427</v>
      </c>
      <c r="B809">
        <v>1.0653412520992771E-2</v>
      </c>
    </row>
    <row r="810" spans="1:2" x14ac:dyDescent="0.35">
      <c r="A810">
        <v>45428</v>
      </c>
      <c r="B810">
        <v>-1.9541908594231079E-3</v>
      </c>
    </row>
    <row r="811" spans="1:2" x14ac:dyDescent="0.35">
      <c r="A811">
        <v>45429</v>
      </c>
      <c r="B811">
        <v>2.003031872440508E-3</v>
      </c>
    </row>
    <row r="812" spans="1:2" x14ac:dyDescent="0.35">
      <c r="A812">
        <v>45432</v>
      </c>
      <c r="B812">
        <v>8.3342517454865011E-4</v>
      </c>
    </row>
    <row r="813" spans="1:2" x14ac:dyDescent="0.35">
      <c r="A813">
        <v>45433</v>
      </c>
      <c r="B813">
        <v>-1.4093859930084149E-4</v>
      </c>
    </row>
    <row r="814" spans="1:2" x14ac:dyDescent="0.35">
      <c r="A814">
        <v>45434</v>
      </c>
      <c r="B814">
        <v>-5.8023248346922001E-3</v>
      </c>
    </row>
    <row r="815" spans="1:2" x14ac:dyDescent="0.35">
      <c r="A815">
        <v>45435</v>
      </c>
      <c r="B815">
        <v>-8.7620472450615581E-3</v>
      </c>
    </row>
    <row r="816" spans="1:2" x14ac:dyDescent="0.35">
      <c r="A816">
        <v>45436</v>
      </c>
      <c r="B816">
        <v>4.7627736007618332E-3</v>
      </c>
    </row>
    <row r="817" spans="1:2" x14ac:dyDescent="0.35">
      <c r="A817">
        <v>45440</v>
      </c>
      <c r="B817">
        <v>-5.6800982162225869E-4</v>
      </c>
    </row>
    <row r="818" spans="1:2" x14ac:dyDescent="0.35">
      <c r="A818">
        <v>45441</v>
      </c>
      <c r="B818">
        <v>-9.5255685232719326E-3</v>
      </c>
    </row>
    <row r="819" spans="1:2" x14ac:dyDescent="0.35">
      <c r="A819">
        <v>45442</v>
      </c>
      <c r="B819">
        <v>2.1706172634051168E-3</v>
      </c>
    </row>
    <row r="820" spans="1:2" x14ac:dyDescent="0.35">
      <c r="A820">
        <v>45443</v>
      </c>
      <c r="B820">
        <v>3.589006445588475E-3</v>
      </c>
    </row>
    <row r="821" spans="1:2" x14ac:dyDescent="0.35">
      <c r="A821">
        <v>45446</v>
      </c>
      <c r="B821">
        <v>3.2574763402303669E-3</v>
      </c>
    </row>
    <row r="822" spans="1:2" x14ac:dyDescent="0.35">
      <c r="A822">
        <v>45447</v>
      </c>
      <c r="B822">
        <v>-1.2491297580344419E-3</v>
      </c>
    </row>
    <row r="823" spans="1:2" x14ac:dyDescent="0.35">
      <c r="A823">
        <v>45448</v>
      </c>
      <c r="B823">
        <v>8.5149533487416246E-3</v>
      </c>
    </row>
    <row r="824" spans="1:2" x14ac:dyDescent="0.35">
      <c r="A824">
        <v>45449</v>
      </c>
      <c r="B824">
        <v>1.588577841423433E-3</v>
      </c>
    </row>
    <row r="825" spans="1:2" x14ac:dyDescent="0.35">
      <c r="A825">
        <v>45450</v>
      </c>
      <c r="B825">
        <v>-1.1319589099400821E-2</v>
      </c>
    </row>
    <row r="826" spans="1:2" x14ac:dyDescent="0.35">
      <c r="A826">
        <v>45453</v>
      </c>
      <c r="B826">
        <v>2.737015622027575E-3</v>
      </c>
    </row>
    <row r="827" spans="1:2" x14ac:dyDescent="0.35">
      <c r="A827">
        <v>45454</v>
      </c>
      <c r="B827">
        <v>8.6201303741461634E-4</v>
      </c>
    </row>
    <row r="828" spans="1:2" x14ac:dyDescent="0.35">
      <c r="A828">
        <v>45455</v>
      </c>
      <c r="B828">
        <v>8.0670198731589079E-3</v>
      </c>
    </row>
    <row r="829" spans="1:2" x14ac:dyDescent="0.35">
      <c r="A829">
        <v>45456</v>
      </c>
      <c r="B829">
        <v>3.9511273959356649E-4</v>
      </c>
    </row>
    <row r="830" spans="1:2" x14ac:dyDescent="0.35">
      <c r="A830">
        <v>45457</v>
      </c>
      <c r="B830">
        <v>-2.8681654007621651E-4</v>
      </c>
    </row>
    <row r="831" spans="1:2" x14ac:dyDescent="0.35">
      <c r="A831">
        <v>45460</v>
      </c>
      <c r="B831">
        <v>1.225188985326166E-3</v>
      </c>
    </row>
    <row r="832" spans="1:2" x14ac:dyDescent="0.35">
      <c r="A832">
        <v>45461</v>
      </c>
      <c r="B832">
        <v>4.5977601583012994E-3</v>
      </c>
    </row>
    <row r="833" spans="1:2" x14ac:dyDescent="0.35">
      <c r="A833">
        <v>45463</v>
      </c>
      <c r="B833">
        <v>-1.420665347489966E-3</v>
      </c>
    </row>
    <row r="834" spans="1:2" x14ac:dyDescent="0.35">
      <c r="A834">
        <v>45464</v>
      </c>
      <c r="B834">
        <v>-2.6445236531888422E-3</v>
      </c>
    </row>
    <row r="835" spans="1:2" x14ac:dyDescent="0.35">
      <c r="A835">
        <v>45467</v>
      </c>
      <c r="B835">
        <v>1.8688026312153249E-3</v>
      </c>
    </row>
    <row r="836" spans="1:2" x14ac:dyDescent="0.35">
      <c r="A836">
        <v>45468</v>
      </c>
      <c r="B836">
        <v>-9.258630915963662E-4</v>
      </c>
    </row>
    <row r="837" spans="1:2" x14ac:dyDescent="0.35">
      <c r="A837">
        <v>45469</v>
      </c>
      <c r="B837">
        <v>-3.9488835791946578E-3</v>
      </c>
    </row>
    <row r="838" spans="1:2" x14ac:dyDescent="0.35">
      <c r="A838">
        <v>45470</v>
      </c>
      <c r="B838">
        <v>4.2777457517605161E-3</v>
      </c>
    </row>
    <row r="839" spans="1:2" x14ac:dyDescent="0.35">
      <c r="A839">
        <v>45471</v>
      </c>
      <c r="B839">
        <v>-2.5811723943613171E-3</v>
      </c>
    </row>
    <row r="840" spans="1:2" x14ac:dyDescent="0.35">
      <c r="A840">
        <v>45474</v>
      </c>
      <c r="B840">
        <v>-1.755885020771583E-3</v>
      </c>
    </row>
    <row r="841" spans="1:2" x14ac:dyDescent="0.35">
      <c r="A841">
        <v>45475</v>
      </c>
      <c r="B841">
        <v>4.396839842414119E-3</v>
      </c>
    </row>
    <row r="842" spans="1:2" x14ac:dyDescent="0.35">
      <c r="A842">
        <v>45476</v>
      </c>
      <c r="B842">
        <v>7.1036283664326844E-3</v>
      </c>
    </row>
    <row r="843" spans="1:2" x14ac:dyDescent="0.35">
      <c r="A843">
        <v>45478</v>
      </c>
      <c r="B843">
        <v>5.3588170623234833E-3</v>
      </c>
    </row>
    <row r="844" spans="1:2" x14ac:dyDescent="0.35">
      <c r="A844">
        <v>45481</v>
      </c>
      <c r="B844">
        <v>-1.2258714302737499E-3</v>
      </c>
    </row>
    <row r="845" spans="1:2" x14ac:dyDescent="0.35">
      <c r="A845">
        <v>45482</v>
      </c>
      <c r="B845">
        <v>-1.381709801924583E-3</v>
      </c>
    </row>
    <row r="846" spans="1:2" x14ac:dyDescent="0.35">
      <c r="A846">
        <v>45483</v>
      </c>
      <c r="B846">
        <v>5.8180259923082244E-3</v>
      </c>
    </row>
    <row r="847" spans="1:2" x14ac:dyDescent="0.35">
      <c r="A847">
        <v>45484</v>
      </c>
      <c r="B847">
        <v>7.4214114686851317E-3</v>
      </c>
    </row>
    <row r="848" spans="1:2" x14ac:dyDescent="0.35">
      <c r="A848">
        <v>45485</v>
      </c>
      <c r="B848">
        <v>4.5281144098858828E-3</v>
      </c>
    </row>
    <row r="849" spans="1:2" x14ac:dyDescent="0.35">
      <c r="A849">
        <v>45488</v>
      </c>
      <c r="B849">
        <v>-1.0247143530848579E-3</v>
      </c>
    </row>
    <row r="850" spans="1:2" x14ac:dyDescent="0.35">
      <c r="A850">
        <v>45489</v>
      </c>
      <c r="B850">
        <v>9.0600983399669495E-3</v>
      </c>
    </row>
    <row r="851" spans="1:2" x14ac:dyDescent="0.35">
      <c r="A851">
        <v>45490</v>
      </c>
      <c r="B851">
        <v>-6.0687596214284989E-3</v>
      </c>
    </row>
    <row r="852" spans="1:2" x14ac:dyDescent="0.35">
      <c r="A852">
        <v>45491</v>
      </c>
      <c r="B852">
        <v>-7.5383276314369826E-3</v>
      </c>
    </row>
    <row r="853" spans="1:2" x14ac:dyDescent="0.35">
      <c r="A853">
        <v>45492</v>
      </c>
      <c r="B853">
        <v>-6.9352849922545493E-3</v>
      </c>
    </row>
    <row r="854" spans="1:2" x14ac:dyDescent="0.35">
      <c r="A854">
        <v>45495</v>
      </c>
      <c r="B854">
        <v>6.0620815525818236E-3</v>
      </c>
    </row>
    <row r="855" spans="1:2" x14ac:dyDescent="0.35">
      <c r="A855">
        <v>45496</v>
      </c>
      <c r="B855">
        <v>-1.391548573041375E-3</v>
      </c>
    </row>
    <row r="856" spans="1:2" x14ac:dyDescent="0.35">
      <c r="A856">
        <v>45497</v>
      </c>
      <c r="B856">
        <v>-1.23459042709542E-2</v>
      </c>
    </row>
    <row r="857" spans="1:2" x14ac:dyDescent="0.35">
      <c r="A857">
        <v>45498</v>
      </c>
      <c r="B857">
        <v>-1.356512778209516E-3</v>
      </c>
    </row>
    <row r="858" spans="1:2" x14ac:dyDescent="0.35">
      <c r="A858">
        <v>45499</v>
      </c>
      <c r="B858">
        <v>8.3437531800369079E-3</v>
      </c>
    </row>
    <row r="859" spans="1:2" x14ac:dyDescent="0.35">
      <c r="A859">
        <v>45502</v>
      </c>
      <c r="B859">
        <v>-7.2520589860435849E-4</v>
      </c>
    </row>
    <row r="860" spans="1:2" x14ac:dyDescent="0.35">
      <c r="A860">
        <v>45503</v>
      </c>
      <c r="B860">
        <v>3.8803152471757489E-4</v>
      </c>
    </row>
    <row r="861" spans="1:2" x14ac:dyDescent="0.35">
      <c r="A861">
        <v>45504</v>
      </c>
      <c r="B861">
        <v>1.269081115285267E-2</v>
      </c>
    </row>
    <row r="862" spans="1:2" x14ac:dyDescent="0.35">
      <c r="A862">
        <v>45505</v>
      </c>
      <c r="B862">
        <v>-8.8485963854752006E-3</v>
      </c>
    </row>
    <row r="863" spans="1:2" x14ac:dyDescent="0.35">
      <c r="A863">
        <v>45506</v>
      </c>
      <c r="B863">
        <v>-6.2838700865318247E-3</v>
      </c>
    </row>
    <row r="864" spans="1:2" x14ac:dyDescent="0.35">
      <c r="A864">
        <v>45509</v>
      </c>
      <c r="B864">
        <v>-1.5566460915378911E-2</v>
      </c>
    </row>
    <row r="865" spans="1:2" x14ac:dyDescent="0.35">
      <c r="A865">
        <v>45510</v>
      </c>
      <c r="B865">
        <v>5.447602884683585E-4</v>
      </c>
    </row>
    <row r="866" spans="1:2" x14ac:dyDescent="0.35">
      <c r="A866">
        <v>45511</v>
      </c>
      <c r="B866">
        <v>-2.501807858835458E-3</v>
      </c>
    </row>
    <row r="867" spans="1:2" x14ac:dyDescent="0.35">
      <c r="A867">
        <v>45512</v>
      </c>
      <c r="B867">
        <v>1.2296773163616499E-2</v>
      </c>
    </row>
    <row r="868" spans="1:2" x14ac:dyDescent="0.35">
      <c r="A868">
        <v>45513</v>
      </c>
      <c r="B868">
        <v>4.0695217252790499E-3</v>
      </c>
    </row>
    <row r="869" spans="1:2" x14ac:dyDescent="0.35">
      <c r="A869">
        <v>45516</v>
      </c>
      <c r="B869">
        <v>2.4173015603124169E-3</v>
      </c>
    </row>
    <row r="870" spans="1:2" x14ac:dyDescent="0.35">
      <c r="A870">
        <v>45517</v>
      </c>
      <c r="B870">
        <v>8.9116177625450585E-3</v>
      </c>
    </row>
    <row r="871" spans="1:2" x14ac:dyDescent="0.35">
      <c r="A871">
        <v>45518</v>
      </c>
      <c r="B871">
        <v>-2.0063930275456649E-4</v>
      </c>
    </row>
    <row r="872" spans="1:2" x14ac:dyDescent="0.35">
      <c r="A872">
        <v>45519</v>
      </c>
      <c r="B872">
        <v>7.1311150274751926E-3</v>
      </c>
    </row>
    <row r="873" spans="1:2" x14ac:dyDescent="0.35">
      <c r="A873">
        <v>45520</v>
      </c>
      <c r="B873">
        <v>4.2104566685836663E-3</v>
      </c>
    </row>
    <row r="874" spans="1:2" x14ac:dyDescent="0.35">
      <c r="A874">
        <v>45523</v>
      </c>
      <c r="B874">
        <v>5.6689526872076663E-3</v>
      </c>
    </row>
    <row r="875" spans="1:2" x14ac:dyDescent="0.35">
      <c r="A875">
        <v>45524</v>
      </c>
      <c r="B875">
        <v>-1.1768820994229E-3</v>
      </c>
    </row>
    <row r="876" spans="1:2" x14ac:dyDescent="0.35">
      <c r="A876">
        <v>45525</v>
      </c>
      <c r="B876">
        <v>3.3712671521003751E-3</v>
      </c>
    </row>
    <row r="877" spans="1:2" x14ac:dyDescent="0.35">
      <c r="A877">
        <v>45526</v>
      </c>
      <c r="B877">
        <v>-6.7188257059802251E-3</v>
      </c>
    </row>
    <row r="878" spans="1:2" x14ac:dyDescent="0.35">
      <c r="A878">
        <v>45527</v>
      </c>
      <c r="B878">
        <v>1.3502743207841761E-2</v>
      </c>
    </row>
    <row r="879" spans="1:2" x14ac:dyDescent="0.35">
      <c r="A879">
        <v>45530</v>
      </c>
      <c r="B879">
        <v>-1.551111509346283E-3</v>
      </c>
    </row>
    <row r="880" spans="1:2" x14ac:dyDescent="0.35">
      <c r="A880">
        <v>45531</v>
      </c>
      <c r="B880">
        <v>-3.5651623527499972E-5</v>
      </c>
    </row>
    <row r="881" spans="1:2" x14ac:dyDescent="0.35">
      <c r="A881">
        <v>45532</v>
      </c>
      <c r="B881">
        <v>-5.0757981088830244E-3</v>
      </c>
    </row>
    <row r="882" spans="1:2" x14ac:dyDescent="0.35">
      <c r="A882">
        <v>45533</v>
      </c>
      <c r="B882">
        <v>1.474267174717118E-3</v>
      </c>
    </row>
    <row r="883" spans="1:2" x14ac:dyDescent="0.35">
      <c r="A883">
        <v>45534</v>
      </c>
      <c r="B883">
        <v>4.5510648070611672E-4</v>
      </c>
    </row>
    <row r="884" spans="1:2" x14ac:dyDescent="0.35">
      <c r="A884">
        <v>45538</v>
      </c>
      <c r="B884">
        <v>-9.9550866699105161E-3</v>
      </c>
    </row>
    <row r="885" spans="1:2" x14ac:dyDescent="0.35">
      <c r="A885">
        <v>45539</v>
      </c>
      <c r="B885">
        <v>1.14367633188975E-3</v>
      </c>
    </row>
    <row r="886" spans="1:2" x14ac:dyDescent="0.35">
      <c r="A886">
        <v>45540</v>
      </c>
      <c r="B886">
        <v>1.5773441916568001E-3</v>
      </c>
    </row>
    <row r="887" spans="1:2" x14ac:dyDescent="0.35">
      <c r="A887">
        <v>45541</v>
      </c>
      <c r="B887">
        <v>-1.016288444349458E-2</v>
      </c>
    </row>
    <row r="888" spans="1:2" x14ac:dyDescent="0.35">
      <c r="A888">
        <v>45544</v>
      </c>
      <c r="B888">
        <v>6.1506032130958666E-3</v>
      </c>
    </row>
    <row r="889" spans="1:2" x14ac:dyDescent="0.35">
      <c r="A889">
        <v>45545</v>
      </c>
      <c r="B889">
        <v>1.7080794226482501E-3</v>
      </c>
    </row>
    <row r="890" spans="1:2" x14ac:dyDescent="0.35">
      <c r="A890">
        <v>45546</v>
      </c>
      <c r="B890">
        <v>4.5189777208399576E-3</v>
      </c>
    </row>
    <row r="891" spans="1:2" x14ac:dyDescent="0.35">
      <c r="A891">
        <v>45547</v>
      </c>
      <c r="B891">
        <v>6.9231849420135581E-3</v>
      </c>
    </row>
    <row r="892" spans="1:2" x14ac:dyDescent="0.35">
      <c r="A892">
        <v>45548</v>
      </c>
      <c r="B892">
        <v>6.1778133365337088E-3</v>
      </c>
    </row>
    <row r="893" spans="1:2" x14ac:dyDescent="0.35">
      <c r="A893">
        <v>45551</v>
      </c>
      <c r="B893">
        <v>3.4490804649972878E-3</v>
      </c>
    </row>
    <row r="894" spans="1:2" x14ac:dyDescent="0.35">
      <c r="A894">
        <v>45552</v>
      </c>
      <c r="B894">
        <v>-5.9718613884796295E-4</v>
      </c>
    </row>
    <row r="895" spans="1:2" x14ac:dyDescent="0.35">
      <c r="A895">
        <v>45553</v>
      </c>
      <c r="B895">
        <v>-4.0901802392975736E-3</v>
      </c>
    </row>
    <row r="896" spans="1:2" x14ac:dyDescent="0.35">
      <c r="A896">
        <v>45554</v>
      </c>
      <c r="B896">
        <v>1.1442106436325469E-2</v>
      </c>
    </row>
    <row r="897" spans="1:2" x14ac:dyDescent="0.35">
      <c r="A897">
        <v>45555</v>
      </c>
      <c r="B897">
        <v>-1.6282647376234249E-3</v>
      </c>
    </row>
    <row r="898" spans="1:2" x14ac:dyDescent="0.35">
      <c r="A898">
        <v>45558</v>
      </c>
      <c r="B898">
        <v>1.6117884955645001E-3</v>
      </c>
    </row>
    <row r="899" spans="1:2" x14ac:dyDescent="0.35">
      <c r="A899">
        <v>45559</v>
      </c>
      <c r="B899">
        <v>7.0093011982978251E-3</v>
      </c>
    </row>
    <row r="900" spans="1:2" x14ac:dyDescent="0.35">
      <c r="A900">
        <v>45560</v>
      </c>
      <c r="B900">
        <v>-5.4416346672274754E-3</v>
      </c>
    </row>
    <row r="901" spans="1:2" x14ac:dyDescent="0.35">
      <c r="A901">
        <v>45561</v>
      </c>
      <c r="B901">
        <v>5.4857012530284419E-3</v>
      </c>
    </row>
    <row r="902" spans="1:2" x14ac:dyDescent="0.35">
      <c r="A902">
        <v>45562</v>
      </c>
      <c r="B902">
        <v>4.7855480810369991E-4</v>
      </c>
    </row>
    <row r="903" spans="1:2" x14ac:dyDescent="0.35">
      <c r="A903">
        <v>45565</v>
      </c>
      <c r="B903">
        <v>-1.9494795855194251E-3</v>
      </c>
    </row>
    <row r="904" spans="1:2" x14ac:dyDescent="0.35">
      <c r="A904">
        <v>45566</v>
      </c>
      <c r="B904">
        <v>8.890122324414166E-7</v>
      </c>
    </row>
    <row r="905" spans="1:2" x14ac:dyDescent="0.35">
      <c r="A905">
        <v>45567</v>
      </c>
      <c r="B905">
        <v>8.185759911335834E-4</v>
      </c>
    </row>
    <row r="906" spans="1:2" x14ac:dyDescent="0.35">
      <c r="A906">
        <v>45568</v>
      </c>
      <c r="B906">
        <v>-4.1013845289737828E-3</v>
      </c>
    </row>
    <row r="907" spans="1:2" x14ac:dyDescent="0.35">
      <c r="A907">
        <v>45569</v>
      </c>
      <c r="B907">
        <v>1.4420510350963581E-3</v>
      </c>
    </row>
    <row r="908" spans="1:2" x14ac:dyDescent="0.35">
      <c r="A908">
        <v>45572</v>
      </c>
      <c r="B908">
        <v>-3.6555320384085489E-3</v>
      </c>
    </row>
    <row r="909" spans="1:2" x14ac:dyDescent="0.35">
      <c r="A909">
        <v>45573</v>
      </c>
      <c r="B909">
        <v>-1.9172517548398499E-3</v>
      </c>
    </row>
    <row r="910" spans="1:2" x14ac:dyDescent="0.35">
      <c r="A910">
        <v>45574</v>
      </c>
      <c r="B910">
        <v>-1.1068552372118579E-3</v>
      </c>
    </row>
    <row r="911" spans="1:2" x14ac:dyDescent="0.35">
      <c r="A911">
        <v>45575</v>
      </c>
      <c r="B911">
        <v>4.0715325196440019E-4</v>
      </c>
    </row>
    <row r="912" spans="1:2" x14ac:dyDescent="0.35">
      <c r="A912">
        <v>45576</v>
      </c>
      <c r="B912">
        <v>5.1674761880753416E-3</v>
      </c>
    </row>
    <row r="913" spans="1:2" x14ac:dyDescent="0.35">
      <c r="A913">
        <v>45579</v>
      </c>
      <c r="B913">
        <v>9.3677949393125006E-4</v>
      </c>
    </row>
    <row r="914" spans="1:2" x14ac:dyDescent="0.35">
      <c r="A914">
        <v>45580</v>
      </c>
      <c r="B914">
        <v>-3.326739096519826E-3</v>
      </c>
    </row>
    <row r="915" spans="1:2" x14ac:dyDescent="0.35">
      <c r="A915">
        <v>45581</v>
      </c>
      <c r="B915">
        <v>4.6038352250949502E-3</v>
      </c>
    </row>
    <row r="916" spans="1:2" x14ac:dyDescent="0.35">
      <c r="A916">
        <v>45582</v>
      </c>
      <c r="B916">
        <v>-2.8254127416833582E-3</v>
      </c>
    </row>
    <row r="917" spans="1:2" x14ac:dyDescent="0.35">
      <c r="A917">
        <v>45583</v>
      </c>
      <c r="B917">
        <v>3.3997629995353999E-3</v>
      </c>
    </row>
    <row r="918" spans="1:2" x14ac:dyDescent="0.35">
      <c r="A918">
        <v>45586</v>
      </c>
      <c r="B918">
        <v>-7.5257771939570162E-3</v>
      </c>
    </row>
    <row r="919" spans="1:2" x14ac:dyDescent="0.35">
      <c r="A919">
        <v>45587</v>
      </c>
      <c r="B919">
        <v>1.4267199314956531E-3</v>
      </c>
    </row>
    <row r="920" spans="1:2" x14ac:dyDescent="0.35">
      <c r="A920">
        <v>45588</v>
      </c>
      <c r="B920">
        <v>-5.9541745003660078E-3</v>
      </c>
    </row>
    <row r="921" spans="1:2" x14ac:dyDescent="0.35">
      <c r="A921">
        <v>45589</v>
      </c>
      <c r="B921">
        <v>3.3781805749847171E-3</v>
      </c>
    </row>
    <row r="922" spans="1:2" x14ac:dyDescent="0.35">
      <c r="A922">
        <v>45590</v>
      </c>
      <c r="B922">
        <v>-1.1482856314232171E-3</v>
      </c>
    </row>
    <row r="923" spans="1:2" x14ac:dyDescent="0.35">
      <c r="A923">
        <v>45593</v>
      </c>
      <c r="B923">
        <v>4.2543383952961398E-4</v>
      </c>
    </row>
    <row r="924" spans="1:2" x14ac:dyDescent="0.35">
      <c r="A924">
        <v>45594</v>
      </c>
      <c r="B924">
        <v>5.4966568215522496E-4</v>
      </c>
    </row>
    <row r="925" spans="1:2" x14ac:dyDescent="0.35">
      <c r="A925">
        <v>45595</v>
      </c>
      <c r="B925">
        <v>-5.9963262878948338E-4</v>
      </c>
    </row>
    <row r="926" spans="1:2" x14ac:dyDescent="0.35">
      <c r="A926">
        <v>45596</v>
      </c>
      <c r="B926">
        <v>-8.6258010871102086E-3</v>
      </c>
    </row>
    <row r="927" spans="1:2" x14ac:dyDescent="0.35">
      <c r="A927">
        <v>45597</v>
      </c>
      <c r="B927">
        <v>-2.5888847791605391E-3</v>
      </c>
    </row>
    <row r="928" spans="1:2" x14ac:dyDescent="0.35">
      <c r="A928">
        <v>45600</v>
      </c>
      <c r="B928">
        <v>5.5683068575766914E-3</v>
      </c>
    </row>
    <row r="929" spans="1:2" x14ac:dyDescent="0.35">
      <c r="A929">
        <v>45601</v>
      </c>
      <c r="B929">
        <v>8.5282443483405985E-3</v>
      </c>
    </row>
    <row r="930" spans="1:2" x14ac:dyDescent="0.35">
      <c r="A930">
        <v>45602</v>
      </c>
      <c r="B930">
        <v>-2.1492207856969761E-3</v>
      </c>
    </row>
    <row r="931" spans="1:2" x14ac:dyDescent="0.35">
      <c r="A931">
        <v>45603</v>
      </c>
      <c r="B931">
        <v>1.101205966967697E-2</v>
      </c>
    </row>
    <row r="932" spans="1:2" x14ac:dyDescent="0.35">
      <c r="A932">
        <v>45604</v>
      </c>
      <c r="B932">
        <v>-1.07331230058145E-3</v>
      </c>
    </row>
    <row r="933" spans="1:2" x14ac:dyDescent="0.35">
      <c r="A933">
        <v>45607</v>
      </c>
      <c r="B933">
        <v>-3.9250352744268496E-3</v>
      </c>
    </row>
    <row r="934" spans="1:2" x14ac:dyDescent="0.35">
      <c r="A934">
        <v>45608</v>
      </c>
      <c r="B934">
        <v>-1.0182359628778221E-2</v>
      </c>
    </row>
    <row r="935" spans="1:2" x14ac:dyDescent="0.35">
      <c r="A935">
        <v>45609</v>
      </c>
      <c r="B935">
        <v>-3.7034375287808329E-3</v>
      </c>
    </row>
    <row r="936" spans="1:2" x14ac:dyDescent="0.35">
      <c r="A936">
        <v>45610</v>
      </c>
      <c r="B936">
        <v>-3.2990427659862001E-3</v>
      </c>
    </row>
    <row r="937" spans="1:2" x14ac:dyDescent="0.35">
      <c r="A937">
        <v>45611</v>
      </c>
      <c r="B937">
        <v>-5.2763813205596406E-3</v>
      </c>
    </row>
    <row r="938" spans="1:2" x14ac:dyDescent="0.35">
      <c r="A938">
        <v>45614</v>
      </c>
      <c r="B938">
        <v>7.2350367384294081E-3</v>
      </c>
    </row>
    <row r="939" spans="1:2" x14ac:dyDescent="0.35">
      <c r="A939">
        <v>45615</v>
      </c>
      <c r="B939">
        <v>3.6510657953940581E-3</v>
      </c>
    </row>
    <row r="940" spans="1:2" x14ac:dyDescent="0.35">
      <c r="A940">
        <v>45616</v>
      </c>
      <c r="B940">
        <v>-5.1768606903965838E-4</v>
      </c>
    </row>
    <row r="941" spans="1:2" x14ac:dyDescent="0.35">
      <c r="A941">
        <v>45617</v>
      </c>
      <c r="B941">
        <v>3.5907807224044748E-3</v>
      </c>
    </row>
    <row r="942" spans="1:2" x14ac:dyDescent="0.35">
      <c r="A942">
        <v>45618</v>
      </c>
      <c r="B942">
        <v>4.205888694904375E-3</v>
      </c>
    </row>
    <row r="943" spans="1:2" x14ac:dyDescent="0.35">
      <c r="A943">
        <v>45621</v>
      </c>
      <c r="B943">
        <v>4.1011538155840332E-3</v>
      </c>
    </row>
    <row r="944" spans="1:2" x14ac:dyDescent="0.35">
      <c r="A944">
        <v>45622</v>
      </c>
      <c r="B944">
        <v>-9.3106718579701649E-4</v>
      </c>
    </row>
    <row r="945" spans="1:2" x14ac:dyDescent="0.35">
      <c r="A945">
        <v>45623</v>
      </c>
      <c r="B945">
        <v>1.5130108060632829E-3</v>
      </c>
    </row>
    <row r="946" spans="1:2" x14ac:dyDescent="0.35">
      <c r="A946">
        <v>45625</v>
      </c>
      <c r="B946">
        <v>5.1319059703844906E-3</v>
      </c>
    </row>
    <row r="947" spans="1:2" x14ac:dyDescent="0.35">
      <c r="A947">
        <v>45628</v>
      </c>
      <c r="B947">
        <v>-6.7705616222892137E-4</v>
      </c>
    </row>
    <row r="948" spans="1:2" x14ac:dyDescent="0.35">
      <c r="A948">
        <v>45629</v>
      </c>
      <c r="B948">
        <v>-2.0978834630661669E-4</v>
      </c>
    </row>
    <row r="949" spans="1:2" x14ac:dyDescent="0.35">
      <c r="A949">
        <v>45630</v>
      </c>
      <c r="B949">
        <v>3.510538725392883E-3</v>
      </c>
    </row>
    <row r="950" spans="1:2" x14ac:dyDescent="0.35">
      <c r="A950">
        <v>45631</v>
      </c>
      <c r="B950">
        <v>-1.2438525223292249E-3</v>
      </c>
    </row>
    <row r="951" spans="1:2" x14ac:dyDescent="0.35">
      <c r="A951">
        <v>45632</v>
      </c>
      <c r="B951">
        <v>1.0369533238440999E-3</v>
      </c>
    </row>
    <row r="952" spans="1:2" x14ac:dyDescent="0.35">
      <c r="A952">
        <v>45635</v>
      </c>
      <c r="B952">
        <v>6.5061482819595028E-4</v>
      </c>
    </row>
    <row r="953" spans="1:2" x14ac:dyDescent="0.35">
      <c r="A953">
        <v>45636</v>
      </c>
      <c r="B953">
        <v>-3.545160649771591E-3</v>
      </c>
    </row>
    <row r="954" spans="1:2" x14ac:dyDescent="0.35">
      <c r="A954">
        <v>45637</v>
      </c>
      <c r="B954">
        <v>3.7918476159184409E-3</v>
      </c>
    </row>
    <row r="955" spans="1:2" x14ac:dyDescent="0.35">
      <c r="A955">
        <v>45638</v>
      </c>
      <c r="B955">
        <v>-6.9136741680859166E-3</v>
      </c>
    </row>
    <row r="956" spans="1:2" x14ac:dyDescent="0.35">
      <c r="A956">
        <v>45639</v>
      </c>
      <c r="B956">
        <v>-3.3363834743427171E-3</v>
      </c>
    </row>
    <row r="957" spans="1:2" x14ac:dyDescent="0.35">
      <c r="A957">
        <v>45642</v>
      </c>
      <c r="B957">
        <v>1.3186574215712081E-3</v>
      </c>
    </row>
    <row r="958" spans="1:2" x14ac:dyDescent="0.35">
      <c r="A958">
        <v>45643</v>
      </c>
      <c r="B958">
        <v>-3.2466490477030172E-3</v>
      </c>
    </row>
    <row r="959" spans="1:2" x14ac:dyDescent="0.35">
      <c r="A959">
        <v>45644</v>
      </c>
      <c r="B959">
        <v>-2.253030409344265E-2</v>
      </c>
    </row>
    <row r="960" spans="1:2" x14ac:dyDescent="0.35">
      <c r="A960">
        <v>45645</v>
      </c>
      <c r="B960">
        <v>-4.0993941301155912E-3</v>
      </c>
    </row>
    <row r="961" spans="1:2" x14ac:dyDescent="0.35">
      <c r="A961">
        <v>45646</v>
      </c>
      <c r="B961">
        <v>7.0531500001946162E-3</v>
      </c>
    </row>
    <row r="962" spans="1:2" x14ac:dyDescent="0.35">
      <c r="A962">
        <v>45649</v>
      </c>
      <c r="B962">
        <v>5.3604024700073334E-4</v>
      </c>
    </row>
    <row r="963" spans="1:2" x14ac:dyDescent="0.35">
      <c r="A963">
        <v>45650</v>
      </c>
      <c r="B963">
        <v>5.4727797404746249E-3</v>
      </c>
    </row>
    <row r="964" spans="1:2" x14ac:dyDescent="0.35">
      <c r="A964">
        <v>45652</v>
      </c>
      <c r="B964">
        <v>1.7598197555604321E-3</v>
      </c>
    </row>
    <row r="965" spans="1:2" x14ac:dyDescent="0.35">
      <c r="A965">
        <v>45653</v>
      </c>
      <c r="B965">
        <v>-6.2401092210553916E-3</v>
      </c>
    </row>
    <row r="966" spans="1:2" x14ac:dyDescent="0.35">
      <c r="A966">
        <v>45656</v>
      </c>
      <c r="B966">
        <v>-2.2105571707811498E-3</v>
      </c>
    </row>
    <row r="967" spans="1:2" x14ac:dyDescent="0.35">
      <c r="A967">
        <v>45657</v>
      </c>
      <c r="B967">
        <v>-3.2607548258296659E-4</v>
      </c>
    </row>
    <row r="968" spans="1:2" x14ac:dyDescent="0.35">
      <c r="A968">
        <v>45659</v>
      </c>
      <c r="B968">
        <v>9.8899339078023334E-4</v>
      </c>
    </row>
    <row r="969" spans="1:2" x14ac:dyDescent="0.35">
      <c r="A969">
        <v>45660</v>
      </c>
      <c r="B969">
        <v>4.3339679137206003E-3</v>
      </c>
    </row>
    <row r="970" spans="1:2" x14ac:dyDescent="0.35">
      <c r="A970">
        <v>45663</v>
      </c>
      <c r="B970">
        <v>1.024881479719767E-3</v>
      </c>
    </row>
    <row r="971" spans="1:2" x14ac:dyDescent="0.35">
      <c r="A971">
        <v>45664</v>
      </c>
      <c r="B971">
        <v>-5.6667386337857333E-3</v>
      </c>
    </row>
    <row r="972" spans="1:2" x14ac:dyDescent="0.35">
      <c r="A972">
        <v>45665</v>
      </c>
      <c r="B972">
        <v>2.299789999943084E-4</v>
      </c>
    </row>
    <row r="973" spans="1:2" x14ac:dyDescent="0.35">
      <c r="A973">
        <v>45667</v>
      </c>
      <c r="B973">
        <v>-8.1657995417918575E-3</v>
      </c>
    </row>
    <row r="974" spans="1:2" x14ac:dyDescent="0.35">
      <c r="A974">
        <v>45670</v>
      </c>
      <c r="B974">
        <v>-4.1666258199542488E-4</v>
      </c>
    </row>
    <row r="975" spans="1:2" x14ac:dyDescent="0.35">
      <c r="A975">
        <v>45671</v>
      </c>
      <c r="B975">
        <v>3.475375284761341E-3</v>
      </c>
    </row>
    <row r="976" spans="1:2" x14ac:dyDescent="0.35">
      <c r="A976">
        <v>45672</v>
      </c>
      <c r="B976">
        <v>1.371526773692913E-2</v>
      </c>
    </row>
    <row r="977" spans="1:2" x14ac:dyDescent="0.35">
      <c r="A977">
        <v>45673</v>
      </c>
      <c r="B977">
        <v>2.4115674375740082E-3</v>
      </c>
    </row>
    <row r="978" spans="1:2" x14ac:dyDescent="0.35">
      <c r="A978">
        <v>45674</v>
      </c>
      <c r="B978">
        <v>3.082901642515175E-3</v>
      </c>
    </row>
    <row r="979" spans="1:2" x14ac:dyDescent="0.35">
      <c r="A979">
        <v>45678</v>
      </c>
      <c r="B979">
        <v>9.5983303649996663E-3</v>
      </c>
    </row>
    <row r="980" spans="1:2" x14ac:dyDescent="0.35">
      <c r="A980">
        <v>45679</v>
      </c>
      <c r="B980">
        <v>-1.2703526407043661E-3</v>
      </c>
    </row>
    <row r="981" spans="1:2" x14ac:dyDescent="0.35">
      <c r="A981">
        <v>45680</v>
      </c>
      <c r="B981">
        <v>1.210706623461108E-3</v>
      </c>
    </row>
    <row r="982" spans="1:2" x14ac:dyDescent="0.35">
      <c r="A982">
        <v>45681</v>
      </c>
      <c r="B982">
        <v>1.7105695559467169E-3</v>
      </c>
    </row>
    <row r="983" spans="1:2" x14ac:dyDescent="0.35">
      <c r="A983">
        <v>45684</v>
      </c>
      <c r="B983">
        <v>-4.7809486731396579E-3</v>
      </c>
    </row>
    <row r="984" spans="1:2" x14ac:dyDescent="0.35">
      <c r="A984">
        <v>45685</v>
      </c>
      <c r="B984">
        <v>2.1432347381131331E-3</v>
      </c>
    </row>
    <row r="985" spans="1:2" x14ac:dyDescent="0.35">
      <c r="A985">
        <v>45686</v>
      </c>
      <c r="B985">
        <v>-2.4105816430454422E-3</v>
      </c>
    </row>
    <row r="986" spans="1:2" x14ac:dyDescent="0.35">
      <c r="A986">
        <v>45687</v>
      </c>
      <c r="B986">
        <v>7.210547493398391E-3</v>
      </c>
    </row>
    <row r="987" spans="1:2" x14ac:dyDescent="0.35">
      <c r="A987">
        <v>45688</v>
      </c>
      <c r="B987">
        <v>-4.327571086634458E-3</v>
      </c>
    </row>
    <row r="988" spans="1:2" x14ac:dyDescent="0.35">
      <c r="A988">
        <v>45691</v>
      </c>
      <c r="B988">
        <v>-2.1064538128996251E-3</v>
      </c>
    </row>
    <row r="989" spans="1:2" x14ac:dyDescent="0.35">
      <c r="A989">
        <v>45692</v>
      </c>
      <c r="B989">
        <v>7.1967650359175666E-3</v>
      </c>
    </row>
    <row r="990" spans="1:2" x14ac:dyDescent="0.35">
      <c r="A990">
        <v>45693</v>
      </c>
      <c r="B990">
        <v>6.0443477277307084E-3</v>
      </c>
    </row>
    <row r="991" spans="1:2" x14ac:dyDescent="0.35">
      <c r="A991">
        <v>45694</v>
      </c>
      <c r="B991">
        <v>8.0781766000638338E-4</v>
      </c>
    </row>
    <row r="992" spans="1:2" x14ac:dyDescent="0.35">
      <c r="A992">
        <v>45695</v>
      </c>
      <c r="B992">
        <v>-5.1690993663039003E-3</v>
      </c>
    </row>
    <row r="993" spans="1:2" x14ac:dyDescent="0.35">
      <c r="A993">
        <v>45698</v>
      </c>
      <c r="B993">
        <v>6.0233780742075674E-3</v>
      </c>
    </row>
    <row r="994" spans="1:2" x14ac:dyDescent="0.35">
      <c r="A994">
        <v>45699</v>
      </c>
      <c r="B994">
        <v>-8.2227950073331666E-4</v>
      </c>
    </row>
    <row r="995" spans="1:2" x14ac:dyDescent="0.35">
      <c r="A995">
        <v>45700</v>
      </c>
      <c r="B995">
        <v>-4.1573539999539E-3</v>
      </c>
    </row>
    <row r="996" spans="1:2" x14ac:dyDescent="0.35">
      <c r="A996">
        <v>45701</v>
      </c>
      <c r="B996">
        <v>9.6604562257835008E-3</v>
      </c>
    </row>
    <row r="997" spans="1:2" x14ac:dyDescent="0.35">
      <c r="A997">
        <v>45702</v>
      </c>
      <c r="B997">
        <v>6.7678134934772566E-4</v>
      </c>
    </row>
    <row r="998" spans="1:2" x14ac:dyDescent="0.35">
      <c r="A998">
        <v>45706</v>
      </c>
      <c r="B998">
        <v>3.154165890678583E-3</v>
      </c>
    </row>
    <row r="999" spans="1:2" x14ac:dyDescent="0.35">
      <c r="A999">
        <v>45707</v>
      </c>
      <c r="B999">
        <v>6.0684037243741698E-5</v>
      </c>
    </row>
    <row r="1000" spans="1:2" x14ac:dyDescent="0.35">
      <c r="A1000">
        <v>45708</v>
      </c>
      <c r="B1000">
        <v>9.401889290909331E-4</v>
      </c>
    </row>
    <row r="1001" spans="1:2" x14ac:dyDescent="0.35">
      <c r="A1001">
        <v>45709</v>
      </c>
      <c r="B1001">
        <v>-6.7346212076274167E-3</v>
      </c>
    </row>
    <row r="1002" spans="1:2" x14ac:dyDescent="0.35">
      <c r="A1002">
        <v>45712</v>
      </c>
      <c r="B1002">
        <v>-2.069925777890017E-3</v>
      </c>
    </row>
    <row r="1003" spans="1:2" x14ac:dyDescent="0.35">
      <c r="A1003">
        <v>45713</v>
      </c>
      <c r="B1003">
        <v>9.7497904742752518E-4</v>
      </c>
    </row>
    <row r="1004" spans="1:2" x14ac:dyDescent="0.35">
      <c r="A1004">
        <v>45714</v>
      </c>
      <c r="B1004">
        <v>1.36831939179675E-3</v>
      </c>
    </row>
    <row r="1005" spans="1:2" x14ac:dyDescent="0.35">
      <c r="A1005">
        <v>45715</v>
      </c>
      <c r="B1005">
        <v>-9.4955573111321669E-3</v>
      </c>
    </row>
    <row r="1006" spans="1:2" x14ac:dyDescent="0.35">
      <c r="A1006">
        <v>45716</v>
      </c>
      <c r="B1006">
        <v>4.1569701136165748E-3</v>
      </c>
    </row>
    <row r="1007" spans="1:2" x14ac:dyDescent="0.35">
      <c r="A1007">
        <v>45719</v>
      </c>
      <c r="B1007">
        <v>-3.636166167574199E-3</v>
      </c>
    </row>
    <row r="1008" spans="1:2" x14ac:dyDescent="0.35">
      <c r="A1008">
        <v>45720</v>
      </c>
      <c r="B1008">
        <v>-3.0434815522821421E-3</v>
      </c>
    </row>
    <row r="1009" spans="1:2" x14ac:dyDescent="0.35">
      <c r="A1009">
        <v>45721</v>
      </c>
      <c r="B1009">
        <v>6.8092317218917094E-3</v>
      </c>
    </row>
    <row r="1010" spans="1:2" x14ac:dyDescent="0.35">
      <c r="A1010">
        <v>45722</v>
      </c>
      <c r="B1010">
        <v>-1.030554710183724E-2</v>
      </c>
    </row>
    <row r="1011" spans="1:2" x14ac:dyDescent="0.35">
      <c r="A1011">
        <v>45723</v>
      </c>
      <c r="B1011">
        <v>3.5371477946385581E-3</v>
      </c>
    </row>
    <row r="1012" spans="1:2" x14ac:dyDescent="0.35">
      <c r="A1012">
        <v>45726</v>
      </c>
      <c r="B1012">
        <v>-1.2139732306596551E-2</v>
      </c>
    </row>
    <row r="1013" spans="1:2" x14ac:dyDescent="0.35">
      <c r="A1013">
        <v>45727</v>
      </c>
      <c r="B1013">
        <v>-1.761939014290226E-3</v>
      </c>
    </row>
    <row r="1014" spans="1:2" x14ac:dyDescent="0.35">
      <c r="A1014">
        <v>45728</v>
      </c>
      <c r="B1014">
        <v>1.7917053635771499E-3</v>
      </c>
    </row>
    <row r="1015" spans="1:2" x14ac:dyDescent="0.35">
      <c r="A1015">
        <v>45729</v>
      </c>
      <c r="B1015">
        <v>-4.3507691775486329E-3</v>
      </c>
    </row>
    <row r="1016" spans="1:2" x14ac:dyDescent="0.35">
      <c r="A1016">
        <v>45730</v>
      </c>
      <c r="B1016">
        <v>1.057579513082612E-2</v>
      </c>
    </row>
    <row r="1017" spans="1:2" x14ac:dyDescent="0.35">
      <c r="A1017">
        <v>45733</v>
      </c>
      <c r="B1017">
        <v>7.8912081415941828E-3</v>
      </c>
    </row>
    <row r="1018" spans="1:2" x14ac:dyDescent="0.35">
      <c r="A1018">
        <v>45734</v>
      </c>
      <c r="B1018">
        <v>-2.8969550524613418E-3</v>
      </c>
    </row>
    <row r="1019" spans="1:2" x14ac:dyDescent="0.35">
      <c r="A1019">
        <v>45735</v>
      </c>
      <c r="B1019">
        <v>6.467224362879883E-3</v>
      </c>
    </row>
    <row r="1020" spans="1:2" x14ac:dyDescent="0.35">
      <c r="A1020">
        <v>45736</v>
      </c>
      <c r="B1020">
        <v>-2.5946706219881419E-3</v>
      </c>
    </row>
    <row r="1021" spans="1:2" x14ac:dyDescent="0.35">
      <c r="A1021">
        <v>45737</v>
      </c>
      <c r="B1021">
        <v>-4.0217822890622236E-3</v>
      </c>
    </row>
    <row r="1022" spans="1:2" x14ac:dyDescent="0.35">
      <c r="A1022">
        <v>45740</v>
      </c>
      <c r="B1022">
        <v>5.5166720561841253E-3</v>
      </c>
    </row>
    <row r="1023" spans="1:2" x14ac:dyDescent="0.35">
      <c r="A1023">
        <v>45741</v>
      </c>
      <c r="B1023">
        <v>1.4824206904691671E-4</v>
      </c>
    </row>
    <row r="1024" spans="1:2" x14ac:dyDescent="0.35">
      <c r="A1024">
        <v>45742</v>
      </c>
      <c r="B1024">
        <v>-6.2304121233151986E-3</v>
      </c>
    </row>
    <row r="1025" spans="1:2" x14ac:dyDescent="0.35">
      <c r="A1025">
        <v>45743</v>
      </c>
      <c r="B1025">
        <v>5.7959782561125058E-5</v>
      </c>
    </row>
    <row r="1026" spans="1:2" x14ac:dyDescent="0.35">
      <c r="A1026">
        <v>45744</v>
      </c>
      <c r="B1026">
        <v>-5.4353628266408001E-3</v>
      </c>
    </row>
    <row r="1027" spans="1:2" x14ac:dyDescent="0.35">
      <c r="A1027">
        <v>45747</v>
      </c>
      <c r="B1027">
        <v>3.7425369744373419E-3</v>
      </c>
    </row>
    <row r="1028" spans="1:2" x14ac:dyDescent="0.35">
      <c r="A1028">
        <v>45748</v>
      </c>
      <c r="B1028">
        <v>2.7197423107545248E-3</v>
      </c>
    </row>
    <row r="1029" spans="1:2" x14ac:dyDescent="0.35">
      <c r="A1029">
        <v>45749</v>
      </c>
      <c r="B1029">
        <v>4.1819746870075166E-3</v>
      </c>
    </row>
    <row r="1030" spans="1:2" x14ac:dyDescent="0.35">
      <c r="A1030">
        <v>45750</v>
      </c>
      <c r="B1030">
        <v>-2.3928935710185499E-2</v>
      </c>
    </row>
    <row r="1031" spans="1:2" x14ac:dyDescent="0.35">
      <c r="A1031">
        <v>45751</v>
      </c>
      <c r="B1031">
        <v>-3.2638439044184828E-2</v>
      </c>
    </row>
    <row r="1032" spans="1:2" x14ac:dyDescent="0.35">
      <c r="A1032">
        <v>45754</v>
      </c>
      <c r="B1032">
        <v>-1.694955492334943E-2</v>
      </c>
    </row>
    <row r="1033" spans="1:2" x14ac:dyDescent="0.35">
      <c r="A1033">
        <v>45755</v>
      </c>
      <c r="B1033">
        <v>-1.353078075206343E-2</v>
      </c>
    </row>
    <row r="1034" spans="1:2" x14ac:dyDescent="0.35">
      <c r="A1034">
        <v>45756</v>
      </c>
      <c r="B1034">
        <v>5.2968886186094771E-2</v>
      </c>
    </row>
    <row r="1035" spans="1:2" x14ac:dyDescent="0.35">
      <c r="A1035">
        <v>45757</v>
      </c>
      <c r="B1035">
        <v>-2.0275647552766691E-2</v>
      </c>
    </row>
    <row r="1036" spans="1:2" x14ac:dyDescent="0.35">
      <c r="A1036">
        <v>45758</v>
      </c>
      <c r="B1036">
        <v>1.2978892001811571E-2</v>
      </c>
    </row>
    <row r="1037" spans="1:2" x14ac:dyDescent="0.35">
      <c r="A1037">
        <v>45761</v>
      </c>
      <c r="B1037">
        <v>7.4882051130672912E-3</v>
      </c>
    </row>
    <row r="1038" spans="1:2" x14ac:dyDescent="0.35">
      <c r="A1038">
        <v>45762</v>
      </c>
      <c r="B1038">
        <v>2.343977416528616E-3</v>
      </c>
    </row>
    <row r="1039" spans="1:2" x14ac:dyDescent="0.35">
      <c r="A1039">
        <v>45763</v>
      </c>
      <c r="B1039">
        <v>-1.5963314225499829E-3</v>
      </c>
    </row>
    <row r="1040" spans="1:2" x14ac:dyDescent="0.35">
      <c r="A1040">
        <v>45764</v>
      </c>
      <c r="B1040">
        <v>3.4715266989193828E-3</v>
      </c>
    </row>
    <row r="1041" spans="1:2" x14ac:dyDescent="0.35">
      <c r="A1041">
        <v>45768</v>
      </c>
      <c r="B1041">
        <v>-9.3461372777950413E-3</v>
      </c>
    </row>
    <row r="1042" spans="1:2" x14ac:dyDescent="0.35">
      <c r="A1042">
        <v>45769</v>
      </c>
      <c r="B1042">
        <v>1.137383655763333E-2</v>
      </c>
    </row>
    <row r="1043" spans="1:2" x14ac:dyDescent="0.35">
      <c r="A1043">
        <v>45770</v>
      </c>
      <c r="B1043">
        <v>4.9267240555076926E-3</v>
      </c>
    </row>
    <row r="1044" spans="1:2" x14ac:dyDescent="0.35">
      <c r="A1044">
        <v>45771</v>
      </c>
      <c r="B1044">
        <v>1.304500193877069E-2</v>
      </c>
    </row>
    <row r="1045" spans="1:2" x14ac:dyDescent="0.35">
      <c r="A1045">
        <v>45772</v>
      </c>
      <c r="B1045">
        <v>2.278707423960441E-3</v>
      </c>
    </row>
    <row r="1046" spans="1:2" x14ac:dyDescent="0.35">
      <c r="A1046">
        <v>45775</v>
      </c>
      <c r="B1046">
        <v>3.3940398470052912E-3</v>
      </c>
    </row>
    <row r="1047" spans="1:2" x14ac:dyDescent="0.35">
      <c r="A1047">
        <v>45776</v>
      </c>
      <c r="B1047">
        <v>1.94080194900075E-3</v>
      </c>
    </row>
    <row r="1048" spans="1:2" x14ac:dyDescent="0.35">
      <c r="A1048">
        <v>45777</v>
      </c>
      <c r="B1048">
        <v>-3.6477330427936491E-3</v>
      </c>
    </row>
    <row r="1049" spans="1:2" x14ac:dyDescent="0.35">
      <c r="A1049">
        <v>45778</v>
      </c>
      <c r="B1049">
        <v>-1.11121308874883E-4</v>
      </c>
    </row>
    <row r="1050" spans="1:2" x14ac:dyDescent="0.35">
      <c r="A1050">
        <v>45779</v>
      </c>
      <c r="B1050">
        <v>8.4526408578242153E-3</v>
      </c>
    </row>
    <row r="1051" spans="1:2" x14ac:dyDescent="0.35">
      <c r="A1051">
        <v>45782</v>
      </c>
      <c r="B1051">
        <v>2.2014947586474989E-4</v>
      </c>
    </row>
    <row r="1052" spans="1:2" x14ac:dyDescent="0.35">
      <c r="A1052">
        <v>45783</v>
      </c>
      <c r="B1052">
        <v>7.156317225315578E-4</v>
      </c>
    </row>
    <row r="1053" spans="1:2" x14ac:dyDescent="0.35">
      <c r="A1053">
        <v>45784</v>
      </c>
      <c r="B1053">
        <v>-1.6591940726667831E-3</v>
      </c>
    </row>
    <row r="1054" spans="1:2" x14ac:dyDescent="0.35">
      <c r="A1054">
        <v>45785</v>
      </c>
      <c r="B1054">
        <v>-2.1985756645275829E-4</v>
      </c>
    </row>
    <row r="1055" spans="1:2" x14ac:dyDescent="0.35">
      <c r="A1055">
        <v>45786</v>
      </c>
      <c r="B1055">
        <v>2.659657653835567E-3</v>
      </c>
    </row>
    <row r="1056" spans="1:2" x14ac:dyDescent="0.35">
      <c r="A1056">
        <v>45789</v>
      </c>
      <c r="B1056">
        <v>9.4261099716502067E-3</v>
      </c>
    </row>
    <row r="1057" spans="1:2" x14ac:dyDescent="0.35">
      <c r="A1057">
        <v>45790</v>
      </c>
      <c r="B1057">
        <v>2.7816051500449079E-3</v>
      </c>
    </row>
    <row r="1058" spans="1:2" x14ac:dyDescent="0.35">
      <c r="A1058">
        <v>45791</v>
      </c>
      <c r="B1058">
        <v>-4.4905684932414749E-3</v>
      </c>
    </row>
    <row r="1059" spans="1:2" x14ac:dyDescent="0.35">
      <c r="A1059">
        <v>45792</v>
      </c>
      <c r="B1059">
        <v>5.9861559477088844E-3</v>
      </c>
    </row>
    <row r="1060" spans="1:2" x14ac:dyDescent="0.35">
      <c r="A1060">
        <v>45793</v>
      </c>
      <c r="B1060">
        <v>1.93282784192055E-3</v>
      </c>
    </row>
    <row r="1061" spans="1:2" x14ac:dyDescent="0.35">
      <c r="A1061">
        <v>45796</v>
      </c>
      <c r="B1061">
        <v>1.4485018583872179E-3</v>
      </c>
    </row>
    <row r="1062" spans="1:2" x14ac:dyDescent="0.35">
      <c r="A1062">
        <v>45797</v>
      </c>
      <c r="B1062">
        <v>9.6844509664988348E-4</v>
      </c>
    </row>
    <row r="1063" spans="1:2" x14ac:dyDescent="0.35">
      <c r="A1063">
        <v>45798</v>
      </c>
      <c r="B1063">
        <v>-1.0813825076865419E-2</v>
      </c>
    </row>
    <row r="1064" spans="1:2" x14ac:dyDescent="0.35">
      <c r="A1064">
        <v>45799</v>
      </c>
      <c r="B1064">
        <v>-3.3663756935152852E-4</v>
      </c>
    </row>
    <row r="1065" spans="1:2" x14ac:dyDescent="0.35">
      <c r="A1065">
        <v>45800</v>
      </c>
      <c r="B1065">
        <v>1.6566256544875749E-3</v>
      </c>
    </row>
    <row r="1066" spans="1:2" x14ac:dyDescent="0.35">
      <c r="A1066">
        <v>45804</v>
      </c>
      <c r="B1066">
        <v>8.8922973702723826E-3</v>
      </c>
    </row>
    <row r="1067" spans="1:2" x14ac:dyDescent="0.35">
      <c r="A1067">
        <v>45805</v>
      </c>
      <c r="B1067">
        <v>-4.4631441881019243E-3</v>
      </c>
    </row>
    <row r="1068" spans="1:2" x14ac:dyDescent="0.35">
      <c r="A1068">
        <v>45806</v>
      </c>
      <c r="B1068">
        <v>3.8474730377646752E-3</v>
      </c>
    </row>
    <row r="1069" spans="1:2" x14ac:dyDescent="0.35">
      <c r="A1069">
        <v>45807</v>
      </c>
      <c r="B1069">
        <v>-2.034516390632317E-3</v>
      </c>
    </row>
    <row r="1070" spans="1:2" x14ac:dyDescent="0.35">
      <c r="A1070">
        <v>45810</v>
      </c>
      <c r="B1070">
        <v>5.6572117164327409E-3</v>
      </c>
    </row>
    <row r="1071" spans="1:2" x14ac:dyDescent="0.35">
      <c r="A1071">
        <v>45811</v>
      </c>
      <c r="B1071">
        <v>1.651883862029125E-3</v>
      </c>
    </row>
    <row r="1072" spans="1:2" x14ac:dyDescent="0.35">
      <c r="A1072">
        <v>45812</v>
      </c>
      <c r="B1072">
        <v>4.5718440273523082E-3</v>
      </c>
    </row>
    <row r="1073" spans="1:2" x14ac:dyDescent="0.35">
      <c r="A1073">
        <v>45813</v>
      </c>
      <c r="B1073">
        <v>-1.338310619498967E-3</v>
      </c>
    </row>
    <row r="1074" spans="1:2" x14ac:dyDescent="0.35">
      <c r="A1074">
        <v>45814</v>
      </c>
      <c r="B1074">
        <v>1.2872738853758909E-3</v>
      </c>
    </row>
    <row r="1075" spans="1:2" x14ac:dyDescent="0.35">
      <c r="A1075">
        <v>45817</v>
      </c>
      <c r="B1075">
        <v>2.58538114113615E-3</v>
      </c>
    </row>
    <row r="1076" spans="1:2" x14ac:dyDescent="0.35">
      <c r="A1076">
        <v>45818</v>
      </c>
      <c r="B1076">
        <v>3.5780343650452422E-3</v>
      </c>
    </row>
    <row r="1077" spans="1:2" x14ac:dyDescent="0.35">
      <c r="A1077">
        <v>45819</v>
      </c>
      <c r="B1077">
        <v>1.5421836156817E-3</v>
      </c>
    </row>
    <row r="1078" spans="1:2" x14ac:dyDescent="0.35">
      <c r="A1078">
        <v>45820</v>
      </c>
      <c r="B1078">
        <v>4.3339981142813001E-3</v>
      </c>
    </row>
    <row r="1079" spans="1:2" x14ac:dyDescent="0.35">
      <c r="A1079">
        <v>45821</v>
      </c>
      <c r="B1079">
        <v>-4.8932729905796918E-3</v>
      </c>
    </row>
    <row r="1080" spans="1:2" x14ac:dyDescent="0.35">
      <c r="A1080">
        <v>45824</v>
      </c>
      <c r="B1080">
        <v>1.9041212295412659E-3</v>
      </c>
    </row>
    <row r="1081" spans="1:2" x14ac:dyDescent="0.35">
      <c r="A1081">
        <v>45825</v>
      </c>
      <c r="B1081">
        <v>-1.388506440132925E-3</v>
      </c>
    </row>
    <row r="1082" spans="1:2" x14ac:dyDescent="0.35">
      <c r="A1082">
        <v>45826</v>
      </c>
      <c r="B1082">
        <v>9.799528969029166E-4</v>
      </c>
    </row>
    <row r="1083" spans="1:2" x14ac:dyDescent="0.35">
      <c r="A1083">
        <v>45828</v>
      </c>
      <c r="B1083">
        <v>-1.3679856678741669E-3</v>
      </c>
    </row>
    <row r="1084" spans="1:2" x14ac:dyDescent="0.35">
      <c r="A1084">
        <v>45831</v>
      </c>
      <c r="B1084">
        <v>3.3623672814879751E-3</v>
      </c>
    </row>
    <row r="1085" spans="1:2" x14ac:dyDescent="0.35">
      <c r="A1085">
        <v>45832</v>
      </c>
      <c r="B1085">
        <v>4.8482074857976332E-3</v>
      </c>
    </row>
    <row r="1086" spans="1:2" x14ac:dyDescent="0.35">
      <c r="A1086">
        <v>45833</v>
      </c>
      <c r="B1086">
        <v>-2.943462259572567E-3</v>
      </c>
    </row>
    <row r="1087" spans="1:2" x14ac:dyDescent="0.35">
      <c r="A1087">
        <v>45834</v>
      </c>
      <c r="B1087">
        <v>5.6699436834655248E-3</v>
      </c>
    </row>
    <row r="1088" spans="1:2" x14ac:dyDescent="0.35">
      <c r="A1088">
        <v>45835</v>
      </c>
      <c r="B1088">
        <v>-1.4968812816549E-3</v>
      </c>
    </row>
    <row r="1089" spans="1:2" x14ac:dyDescent="0.35">
      <c r="A1089">
        <v>45838</v>
      </c>
      <c r="B1089">
        <v>4.8706438137517743E-3</v>
      </c>
    </row>
    <row r="1090" spans="1:2" x14ac:dyDescent="0.35">
      <c r="A1090">
        <v>45839</v>
      </c>
      <c r="B1090">
        <v>2.0018077009918921E-3</v>
      </c>
    </row>
    <row r="1091" spans="1:2" x14ac:dyDescent="0.35">
      <c r="A1091">
        <v>45840</v>
      </c>
      <c r="B1091">
        <v>4.1774712253701499E-3</v>
      </c>
    </row>
    <row r="1092" spans="1:2" x14ac:dyDescent="0.35">
      <c r="A1092">
        <v>45841</v>
      </c>
      <c r="B1092">
        <v>1.116790367113208E-3</v>
      </c>
    </row>
    <row r="1093" spans="1:2" x14ac:dyDescent="0.35">
      <c r="A1093">
        <v>45845</v>
      </c>
      <c r="B1093">
        <v>-7.1433066129748153E-3</v>
      </c>
    </row>
    <row r="1094" spans="1:2" x14ac:dyDescent="0.35">
      <c r="A1094">
        <v>45846</v>
      </c>
      <c r="B1094">
        <v>3.971360635725001E-4</v>
      </c>
    </row>
    <row r="1095" spans="1:2" x14ac:dyDescent="0.35">
      <c r="A1095">
        <v>45847</v>
      </c>
      <c r="B1095">
        <v>4.7823386346389496E-3</v>
      </c>
    </row>
    <row r="1096" spans="1:2" x14ac:dyDescent="0.35">
      <c r="A1096">
        <v>45848</v>
      </c>
      <c r="B1096">
        <v>1.105141545521192E-3</v>
      </c>
    </row>
    <row r="1097" spans="1:2" x14ac:dyDescent="0.35">
      <c r="A1097">
        <v>45849</v>
      </c>
      <c r="B1097">
        <v>-2.9522562455704502E-3</v>
      </c>
    </row>
    <row r="1098" spans="1:2" x14ac:dyDescent="0.35">
      <c r="A1098">
        <v>45852</v>
      </c>
      <c r="B1098">
        <v>5.018136856238416E-4</v>
      </c>
    </row>
    <row r="1099" spans="1:2" x14ac:dyDescent="0.35">
      <c r="A1099">
        <v>45853</v>
      </c>
      <c r="B1099">
        <v>-5.3632055450750244E-3</v>
      </c>
    </row>
    <row r="1100" spans="1:2" x14ac:dyDescent="0.35">
      <c r="A1100">
        <v>45854</v>
      </c>
      <c r="B1100">
        <v>3.9497113823126406E-3</v>
      </c>
    </row>
    <row r="1101" spans="1:2" x14ac:dyDescent="0.35">
      <c r="A1101">
        <v>45855</v>
      </c>
      <c r="B1101">
        <v>3.608255056215834E-3</v>
      </c>
    </row>
    <row r="1102" spans="1:2" x14ac:dyDescent="0.35">
      <c r="A1102">
        <v>45856</v>
      </c>
      <c r="B1102">
        <v>1.3111746990799999E-5</v>
      </c>
    </row>
    <row r="1103" spans="1:2" x14ac:dyDescent="0.35">
      <c r="A1103">
        <v>45859</v>
      </c>
      <c r="B1103">
        <v>4.1497857690541672E-3</v>
      </c>
    </row>
    <row r="1104" spans="1:2" x14ac:dyDescent="0.35">
      <c r="A1104">
        <v>45860</v>
      </c>
      <c r="B1104">
        <v>3.9416393175413997E-3</v>
      </c>
    </row>
    <row r="1105" spans="1:2" x14ac:dyDescent="0.35">
      <c r="A1105">
        <v>45861</v>
      </c>
      <c r="B1105">
        <v>3.333826096809133E-3</v>
      </c>
    </row>
    <row r="1106" spans="1:2" x14ac:dyDescent="0.35">
      <c r="A1106">
        <v>45862</v>
      </c>
      <c r="B1106">
        <v>-3.235047968930059E-3</v>
      </c>
    </row>
    <row r="1107" spans="1:2" x14ac:dyDescent="0.35">
      <c r="A1107">
        <v>45863</v>
      </c>
      <c r="B1107">
        <v>-6.9830135641991671E-5</v>
      </c>
    </row>
    <row r="1108" spans="1:2" x14ac:dyDescent="0.35">
      <c r="A1108">
        <v>45866</v>
      </c>
      <c r="B1108">
        <v>-3.697830929102675E-3</v>
      </c>
    </row>
    <row r="1109" spans="1:2" x14ac:dyDescent="0.35">
      <c r="A1109">
        <v>45867</v>
      </c>
      <c r="B1109">
        <v>4.1892752789470236E-3</v>
      </c>
    </row>
    <row r="1110" spans="1:2" x14ac:dyDescent="0.35">
      <c r="A1110">
        <v>45868</v>
      </c>
      <c r="B1110">
        <v>-5.6352856038688996E-3</v>
      </c>
    </row>
    <row r="1111" spans="1:2" x14ac:dyDescent="0.35">
      <c r="A1111">
        <v>45869</v>
      </c>
      <c r="B1111">
        <v>-4.0660815559901749E-3</v>
      </c>
    </row>
    <row r="1112" spans="1:2" x14ac:dyDescent="0.35">
      <c r="A1112">
        <v>45870</v>
      </c>
      <c r="B1112">
        <v>-2.504904472928237E-3</v>
      </c>
    </row>
    <row r="1113" spans="1:2" x14ac:dyDescent="0.35">
      <c r="A1113">
        <v>45873</v>
      </c>
      <c r="B1113">
        <v>8.4442104051155823E-3</v>
      </c>
    </row>
    <row r="1114" spans="1:2" x14ac:dyDescent="0.35">
      <c r="A1114">
        <v>45874</v>
      </c>
      <c r="B1114">
        <v>-3.9163781405006658E-4</v>
      </c>
    </row>
    <row r="1115" spans="1:2" x14ac:dyDescent="0.35">
      <c r="A1115">
        <v>45875</v>
      </c>
      <c r="B1115">
        <v>1.0205916595439251E-3</v>
      </c>
    </row>
    <row r="1116" spans="1:2" x14ac:dyDescent="0.35">
      <c r="A1116">
        <v>45876</v>
      </c>
      <c r="B1116">
        <v>2.2286818687391251E-3</v>
      </c>
    </row>
    <row r="1117" spans="1:2" x14ac:dyDescent="0.35">
      <c r="A1117">
        <v>45877</v>
      </c>
      <c r="B1117">
        <v>5.3836186728271657E-4</v>
      </c>
    </row>
    <row r="1118" spans="1:2" x14ac:dyDescent="0.35">
      <c r="A1118">
        <v>45880</v>
      </c>
      <c r="B1118">
        <v>-2.4010044163354249E-3</v>
      </c>
    </row>
    <row r="1119" spans="1:2" x14ac:dyDescent="0.35">
      <c r="A1119">
        <v>45881</v>
      </c>
      <c r="B1119">
        <v>6.320081507001891E-3</v>
      </c>
    </row>
    <row r="1120" spans="1:2" x14ac:dyDescent="0.35">
      <c r="A1120">
        <v>45882</v>
      </c>
      <c r="B1120">
        <v>6.0145199398960996E-3</v>
      </c>
    </row>
    <row r="1121" spans="1:2" x14ac:dyDescent="0.35">
      <c r="A1121">
        <v>45883</v>
      </c>
      <c r="B1121">
        <v>-4.3141685425518049E-3</v>
      </c>
    </row>
    <row r="1122" spans="1:2" x14ac:dyDescent="0.35">
      <c r="A1122">
        <v>45884</v>
      </c>
      <c r="B1122">
        <v>-9.2086764516477492E-4</v>
      </c>
    </row>
    <row r="1123" spans="1:2" x14ac:dyDescent="0.35">
      <c r="A1123">
        <v>45887</v>
      </c>
      <c r="B1123">
        <v>-6.4704001392028321E-4</v>
      </c>
    </row>
    <row r="1124" spans="1:2" x14ac:dyDescent="0.35">
      <c r="A1124">
        <v>45888</v>
      </c>
      <c r="B1124">
        <v>-1.7633469271318329E-3</v>
      </c>
    </row>
    <row r="1125" spans="1:2" x14ac:dyDescent="0.35">
      <c r="A1125">
        <v>45889</v>
      </c>
      <c r="B1125">
        <v>1.490677985779208E-3</v>
      </c>
    </row>
    <row r="1126" spans="1:2" x14ac:dyDescent="0.35">
      <c r="A1126">
        <v>45890</v>
      </c>
      <c r="B1126">
        <v>-2.393318279583191E-3</v>
      </c>
    </row>
    <row r="1127" spans="1:2" x14ac:dyDescent="0.35">
      <c r="A1127">
        <v>45891</v>
      </c>
      <c r="B1127">
        <v>1.4004488030045109E-2</v>
      </c>
    </row>
    <row r="1128" spans="1:2" x14ac:dyDescent="0.35">
      <c r="A1128">
        <v>45894</v>
      </c>
      <c r="B1128">
        <v>-4.1144861138954084E-3</v>
      </c>
    </row>
    <row r="1129" spans="1:2" x14ac:dyDescent="0.35">
      <c r="A1129">
        <v>45895</v>
      </c>
      <c r="B1129">
        <v>1.231375950973641E-3</v>
      </c>
    </row>
    <row r="1130" spans="1:2" x14ac:dyDescent="0.35">
      <c r="A1130">
        <v>45896</v>
      </c>
      <c r="B1130">
        <v>1.1683773624795329E-3</v>
      </c>
    </row>
    <row r="1131" spans="1:2" x14ac:dyDescent="0.35">
      <c r="A1131">
        <v>45897</v>
      </c>
      <c r="B1131">
        <v>3.381139578449383E-3</v>
      </c>
    </row>
    <row r="1132" spans="1:2" x14ac:dyDescent="0.35">
      <c r="A1132">
        <v>45898</v>
      </c>
      <c r="B1132">
        <v>-2.4676184713540079E-3</v>
      </c>
    </row>
    <row r="1133" spans="1:2" x14ac:dyDescent="0.35">
      <c r="A1133">
        <v>45902</v>
      </c>
      <c r="B1133">
        <v>-1.9515610166777259E-3</v>
      </c>
    </row>
    <row r="1134" spans="1:2" x14ac:dyDescent="0.35">
      <c r="A1134">
        <v>45903</v>
      </c>
      <c r="B1134">
        <v>3.359440627474741E-3</v>
      </c>
    </row>
    <row r="1135" spans="1:2" x14ac:dyDescent="0.35">
      <c r="A1135">
        <v>45904</v>
      </c>
      <c r="B1135">
        <v>4.2980431657057751E-3</v>
      </c>
    </row>
    <row r="1136" spans="1:2" x14ac:dyDescent="0.35">
      <c r="A1136">
        <v>45905</v>
      </c>
      <c r="B1136">
        <v>5.3086340065469743E-3</v>
      </c>
    </row>
    <row r="1137" spans="1:2" x14ac:dyDescent="0.35">
      <c r="A1137">
        <v>45908</v>
      </c>
      <c r="B1137">
        <v>5.065302690830783E-3</v>
      </c>
    </row>
    <row r="1138" spans="1:2" x14ac:dyDescent="0.35">
      <c r="A1138">
        <v>45909</v>
      </c>
      <c r="B1138">
        <v>-9.4851302451488318E-4</v>
      </c>
    </row>
    <row r="1139" spans="1:2" x14ac:dyDescent="0.35">
      <c r="A1139">
        <v>45910</v>
      </c>
      <c r="B1139">
        <v>2.4061274828497911E-3</v>
      </c>
    </row>
    <row r="1140" spans="1:2" x14ac:dyDescent="0.35">
      <c r="A1140">
        <v>45911</v>
      </c>
      <c r="B1140">
        <v>6.857317143345058E-3</v>
      </c>
    </row>
    <row r="1141" spans="1:2" x14ac:dyDescent="0.35">
      <c r="A1141">
        <v>45912</v>
      </c>
      <c r="B1141">
        <v>-1.4521289933406669E-3</v>
      </c>
    </row>
    <row r="1142" spans="1:2" x14ac:dyDescent="0.35">
      <c r="A1142">
        <v>45915</v>
      </c>
      <c r="B1142">
        <v>4.9787189366785741E-3</v>
      </c>
    </row>
    <row r="1143" spans="1:2" x14ac:dyDescent="0.35">
      <c r="A1143">
        <v>45916</v>
      </c>
      <c r="B1143">
        <v>7.3140409720571663E-4</v>
      </c>
    </row>
    <row r="1144" spans="1:2" x14ac:dyDescent="0.35">
      <c r="A1144">
        <v>45917</v>
      </c>
      <c r="B1144">
        <v>-2.2597493707014501E-3</v>
      </c>
    </row>
    <row r="1145" spans="1:2" x14ac:dyDescent="0.35">
      <c r="A1145">
        <v>45918</v>
      </c>
      <c r="B1145">
        <v>1.6921432346034E-3</v>
      </c>
    </row>
    <row r="1146" spans="1:2" x14ac:dyDescent="0.35">
      <c r="A1146">
        <v>45919</v>
      </c>
      <c r="B1146">
        <v>-7.2189685163859979E-4</v>
      </c>
    </row>
    <row r="1147" spans="1:2" x14ac:dyDescent="0.35">
      <c r="A1147">
        <v>45922</v>
      </c>
      <c r="B1147">
        <v>2.9466408068393249E-3</v>
      </c>
    </row>
    <row r="1148" spans="1:2" x14ac:dyDescent="0.35">
      <c r="A1148">
        <v>45923</v>
      </c>
      <c r="B1148">
        <v>1.266220118339991E-3</v>
      </c>
    </row>
    <row r="1149" spans="1:2" x14ac:dyDescent="0.35">
      <c r="A1149">
        <v>45924</v>
      </c>
      <c r="B1149">
        <v>-4.0966495466680736E-3</v>
      </c>
    </row>
    <row r="1150" spans="1:2" x14ac:dyDescent="0.35">
      <c r="A1150">
        <v>45925</v>
      </c>
      <c r="B1150">
        <v>-2.5011588405051081E-3</v>
      </c>
    </row>
    <row r="1151" spans="1:2" x14ac:dyDescent="0.35">
      <c r="A1151">
        <v>45926</v>
      </c>
      <c r="B1151">
        <v>3.5193701525700078E-3</v>
      </c>
    </row>
    <row r="1152" spans="1:2" x14ac:dyDescent="0.35">
      <c r="A1152">
        <v>45929</v>
      </c>
      <c r="B1152">
        <v>3.855530557950041E-3</v>
      </c>
    </row>
    <row r="1153" spans="1:2" x14ac:dyDescent="0.35">
      <c r="A1153">
        <v>45930</v>
      </c>
      <c r="B1153">
        <v>1.658530022714983E-3</v>
      </c>
    </row>
    <row r="1154" spans="1:2" x14ac:dyDescent="0.35">
      <c r="A1154">
        <v>45931</v>
      </c>
      <c r="B1154">
        <v>3.3061579587311328E-3</v>
      </c>
    </row>
    <row r="1155" spans="1:2" x14ac:dyDescent="0.35">
      <c r="A1155">
        <v>45932</v>
      </c>
      <c r="B1155">
        <v>6.3400453258408325E-4</v>
      </c>
    </row>
    <row r="1156" spans="1:2" x14ac:dyDescent="0.35">
      <c r="A1156">
        <v>45933</v>
      </c>
      <c r="B1156">
        <v>1.9332026555533401E-3</v>
      </c>
    </row>
    <row r="1157" spans="1:2" x14ac:dyDescent="0.35">
      <c r="A1157">
        <v>45936</v>
      </c>
      <c r="B1157">
        <v>2.3233976855486422E-3</v>
      </c>
    </row>
    <row r="1158" spans="1:2" x14ac:dyDescent="0.35">
      <c r="A1158">
        <v>45937</v>
      </c>
      <c r="B1158">
        <v>-1.8011321582597081E-3</v>
      </c>
    </row>
    <row r="1159" spans="1:2" x14ac:dyDescent="0.35">
      <c r="A1159">
        <v>45938</v>
      </c>
      <c r="B1159">
        <v>4.1401524755783417E-3</v>
      </c>
    </row>
    <row r="1160" spans="1:2" x14ac:dyDescent="0.35">
      <c r="A1160">
        <v>45939</v>
      </c>
      <c r="B1160">
        <v>-5.7116453726727594E-3</v>
      </c>
    </row>
    <row r="1161" spans="1:2" x14ac:dyDescent="0.35">
      <c r="A1161">
        <v>45940</v>
      </c>
      <c r="B1161">
        <v>-1.263578129138984E-2</v>
      </c>
    </row>
    <row r="1162" spans="1:2" x14ac:dyDescent="0.35">
      <c r="A1162">
        <v>45943</v>
      </c>
      <c r="B1162">
        <v>1.287274361491768E-2</v>
      </c>
    </row>
    <row r="1163" spans="1:2" x14ac:dyDescent="0.35">
      <c r="A1163">
        <v>45944</v>
      </c>
      <c r="B1163">
        <v>1.5299714602967081E-3</v>
      </c>
    </row>
    <row r="1164" spans="1:2" x14ac:dyDescent="0.35">
      <c r="A1164">
        <v>45945</v>
      </c>
      <c r="B1164">
        <v>6.4914966655742409E-3</v>
      </c>
    </row>
    <row r="1165" spans="1:2" x14ac:dyDescent="0.35">
      <c r="A1165">
        <v>45946</v>
      </c>
      <c r="B1165">
        <v>8.0167804603127569E-4</v>
      </c>
    </row>
    <row r="1166" spans="1:2" x14ac:dyDescent="0.35">
      <c r="A1166">
        <v>45947</v>
      </c>
      <c r="B1166">
        <v>-7.1670072141180835E-4</v>
      </c>
    </row>
    <row r="1167" spans="1:2" x14ac:dyDescent="0.35">
      <c r="A1167">
        <v>45950</v>
      </c>
      <c r="B1167">
        <v>1.092086236254329E-2</v>
      </c>
    </row>
    <row r="1168" spans="1:2" x14ac:dyDescent="0.35">
      <c r="A1168">
        <v>45951</v>
      </c>
      <c r="B1168">
        <v>-7.9480536047510722E-3</v>
      </c>
    </row>
    <row r="1169" spans="1:2" x14ac:dyDescent="0.35">
      <c r="A1169">
        <v>45952</v>
      </c>
      <c r="B1169">
        <v>-9.1543805507351636E-4</v>
      </c>
    </row>
    <row r="1170" spans="1:2" x14ac:dyDescent="0.35">
      <c r="A1170">
        <v>45953</v>
      </c>
      <c r="B1170">
        <v>4.3033136230942329E-3</v>
      </c>
    </row>
    <row r="1171" spans="1:2" x14ac:dyDescent="0.35">
      <c r="A1171">
        <v>45954</v>
      </c>
      <c r="B1171">
        <v>3.7507150057447172E-3</v>
      </c>
    </row>
    <row r="1172" spans="1:2" x14ac:dyDescent="0.35">
      <c r="A1172">
        <v>45957</v>
      </c>
      <c r="B1172">
        <v>2.619726135449483E-3</v>
      </c>
    </row>
    <row r="1173" spans="1:2" x14ac:dyDescent="0.35">
      <c r="A1173">
        <v>45958</v>
      </c>
      <c r="B1173">
        <v>-2.4295144960913739E-3</v>
      </c>
    </row>
    <row r="1174" spans="1:2" x14ac:dyDescent="0.35">
      <c r="A1174">
        <v>45959</v>
      </c>
      <c r="B1174">
        <v>-4.4138876029886078E-3</v>
      </c>
    </row>
    <row r="1175" spans="1:2" x14ac:dyDescent="0.35">
      <c r="A1175">
        <v>45960</v>
      </c>
      <c r="B1175">
        <v>-3.2293426763719082E-3</v>
      </c>
    </row>
    <row r="1176" spans="1:2" x14ac:dyDescent="0.35">
      <c r="A1176">
        <v>45961</v>
      </c>
      <c r="B1176">
        <v>5.6477309792434156E-4</v>
      </c>
    </row>
    <row r="1177" spans="1:2" x14ac:dyDescent="0.35">
      <c r="A1177">
        <v>45964</v>
      </c>
      <c r="B1177">
        <v>7.6621908038747495E-4</v>
      </c>
    </row>
    <row r="1178" spans="1:2" x14ac:dyDescent="0.35">
      <c r="A1178">
        <v>45965</v>
      </c>
      <c r="B1178">
        <v>-7.9864177158283159E-3</v>
      </c>
    </row>
    <row r="1179" spans="1:2" x14ac:dyDescent="0.35">
      <c r="A1179">
        <v>45966</v>
      </c>
      <c r="B1179">
        <v>2.628858839859883E-3</v>
      </c>
    </row>
    <row r="1180" spans="1:2" x14ac:dyDescent="0.35">
      <c r="A1180">
        <v>45967</v>
      </c>
      <c r="B1180">
        <v>-3.4754619251806751E-3</v>
      </c>
    </row>
    <row r="1181" spans="1:2" x14ac:dyDescent="0.35">
      <c r="A1181">
        <v>45968</v>
      </c>
      <c r="B1181">
        <v>2.074814835169375E-3</v>
      </c>
    </row>
    <row r="1182" spans="1:2" x14ac:dyDescent="0.35">
      <c r="A1182">
        <v>45971</v>
      </c>
      <c r="B1182">
        <v>9.6567130796311913E-3</v>
      </c>
    </row>
    <row r="1183" spans="1:2" x14ac:dyDescent="0.35">
      <c r="A1183">
        <v>45972</v>
      </c>
      <c r="B1183">
        <v>3.6087015863140249E-3</v>
      </c>
    </row>
    <row r="1184" spans="1:2" x14ac:dyDescent="0.35">
      <c r="A1184">
        <v>45973</v>
      </c>
      <c r="B1184">
        <v>-5.1818201240082457E-6</v>
      </c>
    </row>
    <row r="1185" spans="1:2" x14ac:dyDescent="0.35">
      <c r="A1185">
        <v>45974</v>
      </c>
      <c r="B1185">
        <v>-1.109935732491962E-2</v>
      </c>
    </row>
    <row r="1186" spans="1:2" x14ac:dyDescent="0.35">
      <c r="A1186">
        <v>45975</v>
      </c>
      <c r="B1186">
        <v>-1.8618012071752079E-3</v>
      </c>
    </row>
    <row r="1187" spans="1:2" x14ac:dyDescent="0.35">
      <c r="A1187">
        <v>45978</v>
      </c>
      <c r="B1187">
        <v>-6.7479636738330163E-3</v>
      </c>
    </row>
    <row r="1188" spans="1:2" x14ac:dyDescent="0.35">
      <c r="A1188">
        <v>45979</v>
      </c>
      <c r="B1188">
        <v>-1.1539762549089339E-3</v>
      </c>
    </row>
    <row r="1189" spans="1:2" x14ac:dyDescent="0.35">
      <c r="A1189">
        <v>45980</v>
      </c>
      <c r="B1189">
        <v>-1.26560404147814E-3</v>
      </c>
    </row>
    <row r="1190" spans="1:2" x14ac:dyDescent="0.35">
      <c r="A1190">
        <v>45981</v>
      </c>
      <c r="B1190">
        <v>-7.6687705934842081E-3</v>
      </c>
    </row>
    <row r="1191" spans="1:2" x14ac:dyDescent="0.35">
      <c r="A1191">
        <v>45982</v>
      </c>
      <c r="B1191">
        <v>6.8631833097177663E-3</v>
      </c>
    </row>
    <row r="1192" spans="1:2" x14ac:dyDescent="0.35">
      <c r="A1192">
        <v>45985</v>
      </c>
      <c r="B1192">
        <v>8.9420387282702733E-3</v>
      </c>
    </row>
    <row r="1193" spans="1:2" x14ac:dyDescent="0.35">
      <c r="A1193">
        <v>45986</v>
      </c>
      <c r="B1193">
        <v>5.6574123903433502E-3</v>
      </c>
    </row>
    <row r="1194" spans="1:2" x14ac:dyDescent="0.35">
      <c r="A1194">
        <v>45987</v>
      </c>
      <c r="B1194">
        <v>6.2936244646739081E-3</v>
      </c>
    </row>
    <row r="1195" spans="1:2" x14ac:dyDescent="0.35">
      <c r="A1195">
        <v>45989</v>
      </c>
      <c r="B1195">
        <v>3.7909278770678831E-3</v>
      </c>
    </row>
    <row r="1196" spans="1:2" x14ac:dyDescent="0.35">
      <c r="A1196">
        <v>45992</v>
      </c>
      <c r="B1196">
        <v>-4.6022958676207081E-3</v>
      </c>
    </row>
    <row r="1197" spans="1:2" x14ac:dyDescent="0.35">
      <c r="A1197">
        <v>45993</v>
      </c>
      <c r="B1197">
        <v>8.8083706037566604E-5</v>
      </c>
    </row>
    <row r="1198" spans="1:2" x14ac:dyDescent="0.35">
      <c r="A1198">
        <v>45994</v>
      </c>
      <c r="B1198">
        <v>3.7175071012464081E-3</v>
      </c>
    </row>
    <row r="1199" spans="1:2" x14ac:dyDescent="0.35">
      <c r="A1199">
        <v>45995</v>
      </c>
      <c r="B1199">
        <v>1.9778086900101651E-4</v>
      </c>
    </row>
    <row r="1200" spans="1:2" x14ac:dyDescent="0.35">
      <c r="A1200">
        <v>45996</v>
      </c>
      <c r="B1200">
        <v>4.0068249329699182E-4</v>
      </c>
    </row>
    <row r="1201" spans="1:2" x14ac:dyDescent="0.35">
      <c r="A1201">
        <v>45999</v>
      </c>
      <c r="B1201">
        <v>-3.5423093861813668E-3</v>
      </c>
    </row>
    <row r="1202" spans="1:2" x14ac:dyDescent="0.35">
      <c r="A1202">
        <v>46000</v>
      </c>
      <c r="B1202">
        <v>-3.5199252517466659E-4</v>
      </c>
    </row>
    <row r="1203" spans="1:2" x14ac:dyDescent="0.35">
      <c r="A1203">
        <v>46001</v>
      </c>
      <c r="B1203">
        <v>6.3036577724055664E-3</v>
      </c>
    </row>
    <row r="1204" spans="1:2" x14ac:dyDescent="0.35">
      <c r="A1204">
        <v>46002</v>
      </c>
      <c r="B1204">
        <v>1.956684996738167E-3</v>
      </c>
    </row>
    <row r="1205" spans="1:2" x14ac:dyDescent="0.35">
      <c r="A1205">
        <v>46003</v>
      </c>
      <c r="B1205">
        <v>-7.1836201576754924E-3</v>
      </c>
    </row>
    <row r="1206" spans="1:2" x14ac:dyDescent="0.35">
      <c r="A1206">
        <v>46006</v>
      </c>
      <c r="B1206">
        <v>-7.077689181916668E-4</v>
      </c>
    </row>
    <row r="1207" spans="1:2" x14ac:dyDescent="0.35">
      <c r="A1207">
        <v>46007</v>
      </c>
      <c r="B1207">
        <v>-1.8721155673672831E-3</v>
      </c>
    </row>
    <row r="1208" spans="1:2" x14ac:dyDescent="0.35">
      <c r="A1208">
        <v>46008</v>
      </c>
      <c r="B1208">
        <v>-2.888455468194833E-3</v>
      </c>
    </row>
    <row r="1209" spans="1:2" x14ac:dyDescent="0.35">
      <c r="A1209">
        <v>46009</v>
      </c>
      <c r="B1209">
        <v>3.8629546718281912E-3</v>
      </c>
    </row>
    <row r="1210" spans="1:2" x14ac:dyDescent="0.35">
      <c r="A1210">
        <v>46010</v>
      </c>
      <c r="B1210">
        <v>3.525329939371E-3</v>
      </c>
    </row>
    <row r="1211" spans="1:2" x14ac:dyDescent="0.35">
      <c r="A1211">
        <v>46013</v>
      </c>
      <c r="B1211">
        <v>5.7172467040721917E-3</v>
      </c>
    </row>
    <row r="1212" spans="1:2" x14ac:dyDescent="0.35">
      <c r="A1212">
        <v>46014</v>
      </c>
      <c r="B1212">
        <v>3.477314613682224E-3</v>
      </c>
    </row>
    <row r="1213" spans="1:2" x14ac:dyDescent="0.35">
      <c r="A1213">
        <v>46015</v>
      </c>
      <c r="B1213">
        <v>2.386611783848816E-3</v>
      </c>
    </row>
    <row r="1214" spans="1:2" x14ac:dyDescent="0.35">
      <c r="A1214">
        <v>46017</v>
      </c>
      <c r="B1214">
        <v>1.3601694184516031E-3</v>
      </c>
    </row>
    <row r="1215" spans="1:2" x14ac:dyDescent="0.35">
      <c r="A1215">
        <v>46020</v>
      </c>
      <c r="B1215">
        <v>-5.3250105807880503E-3</v>
      </c>
    </row>
    <row r="1216" spans="1:2" x14ac:dyDescent="0.35">
      <c r="A1216">
        <v>46021</v>
      </c>
      <c r="B1216">
        <v>4.6692892300024917E-5</v>
      </c>
    </row>
    <row r="1217" spans="1:2" x14ac:dyDescent="0.35">
      <c r="A1217">
        <v>46022</v>
      </c>
      <c r="B1217">
        <v>-6.1752432349916576E-3</v>
      </c>
    </row>
    <row r="1218" spans="1:2" x14ac:dyDescent="0.35">
      <c r="A1218">
        <v>46024</v>
      </c>
      <c r="B1218">
        <v>4.4645336950651831E-3</v>
      </c>
    </row>
    <row r="1219" spans="1:2" x14ac:dyDescent="0.35">
      <c r="A1219">
        <v>46027</v>
      </c>
      <c r="B1219">
        <v>9.4708894766429991E-3</v>
      </c>
    </row>
    <row r="1220" spans="1:2" x14ac:dyDescent="0.35">
      <c r="A1220">
        <v>46028</v>
      </c>
      <c r="B1220">
        <v>4.338988948851966E-3</v>
      </c>
    </row>
    <row r="1221" spans="1:2" x14ac:dyDescent="0.35">
      <c r="A1221">
        <v>46029</v>
      </c>
      <c r="B1221">
        <v>-3.015899333380524E-3</v>
      </c>
    </row>
    <row r="1222" spans="1:2" x14ac:dyDescent="0.35">
      <c r="A1222">
        <v>46030</v>
      </c>
      <c r="B1222">
        <v>1.8992096860273829E-3</v>
      </c>
    </row>
    <row r="1223" spans="1:2" x14ac:dyDescent="0.35">
      <c r="A1223">
        <v>46031</v>
      </c>
      <c r="B1223">
        <v>5.0065535704323077E-3</v>
      </c>
    </row>
    <row r="1224" spans="1:2" x14ac:dyDescent="0.35">
      <c r="A1224">
        <v>46034</v>
      </c>
      <c r="B1224">
        <v>4.5997434771224829E-3</v>
      </c>
    </row>
    <row r="1225" spans="1:2" x14ac:dyDescent="0.35">
      <c r="A1225">
        <v>46035</v>
      </c>
      <c r="B1225">
        <v>-1.324630575948334E-5</v>
      </c>
    </row>
    <row r="1226" spans="1:2" x14ac:dyDescent="0.35">
      <c r="A1226">
        <v>46036</v>
      </c>
      <c r="B1226">
        <v>2.5348434113545999E-3</v>
      </c>
    </row>
    <row r="1227" spans="1:2" x14ac:dyDescent="0.35">
      <c r="A1227">
        <v>46037</v>
      </c>
      <c r="B1227">
        <v>8.1204220035314988E-4</v>
      </c>
    </row>
    <row r="1228" spans="1:2" x14ac:dyDescent="0.35">
      <c r="A1228">
        <v>46038</v>
      </c>
      <c r="B1228">
        <v>-6.6570346319036672E-4</v>
      </c>
    </row>
    <row r="1229" spans="1:2" x14ac:dyDescent="0.35">
      <c r="A1229">
        <v>46042</v>
      </c>
      <c r="B1229">
        <v>-5.9203004757109991E-3</v>
      </c>
    </row>
    <row r="1230" spans="1:2" x14ac:dyDescent="0.35">
      <c r="A1230">
        <v>46043</v>
      </c>
      <c r="B1230">
        <v>1.0084687713153359E-2</v>
      </c>
    </row>
    <row r="1231" spans="1:2" x14ac:dyDescent="0.35">
      <c r="A1231">
        <v>46044</v>
      </c>
      <c r="B1231">
        <v>3.8765260688492171E-3</v>
      </c>
    </row>
    <row r="1232" spans="1:2" x14ac:dyDescent="0.35">
      <c r="A1232">
        <v>46045</v>
      </c>
      <c r="B1232">
        <v>2.9761992451234078E-3</v>
      </c>
    </row>
    <row r="1233" spans="1:2" x14ac:dyDescent="0.35">
      <c r="A1233">
        <v>46048</v>
      </c>
      <c r="B1233">
        <v>3.20265647164665E-3</v>
      </c>
    </row>
    <row r="1234" spans="1:2" x14ac:dyDescent="0.35">
      <c r="A1234">
        <v>46049</v>
      </c>
      <c r="B1234">
        <v>6.7499538923606406E-3</v>
      </c>
    </row>
    <row r="1235" spans="1:2" x14ac:dyDescent="0.35">
      <c r="A1235">
        <v>46050</v>
      </c>
      <c r="B1235">
        <v>2.4458507519480332E-3</v>
      </c>
    </row>
    <row r="1236" spans="1:2" x14ac:dyDescent="0.35">
      <c r="A1236">
        <v>46051</v>
      </c>
      <c r="B1236">
        <v>2.2050718490031502E-3</v>
      </c>
    </row>
    <row r="1237" spans="1:2" x14ac:dyDescent="0.35">
      <c r="A1237">
        <v>46052</v>
      </c>
      <c r="B1237">
        <v>-1.6905743864939361E-2</v>
      </c>
    </row>
    <row r="1238" spans="1:2" x14ac:dyDescent="0.35">
      <c r="A1238">
        <v>46055</v>
      </c>
      <c r="B1238">
        <v>-5.0663112674942581E-3</v>
      </c>
    </row>
    <row r="1239" spans="1:2" x14ac:dyDescent="0.35">
      <c r="A1239">
        <v>46056</v>
      </c>
      <c r="B1239">
        <v>6.2366522759962247E-3</v>
      </c>
    </row>
    <row r="1240" spans="1:2" x14ac:dyDescent="0.35">
      <c r="A1240">
        <v>46057</v>
      </c>
      <c r="B1240">
        <v>-2.5832589917939579E-3</v>
      </c>
    </row>
    <row r="1241" spans="1:2" x14ac:dyDescent="0.35">
      <c r="A1241">
        <v>46058</v>
      </c>
      <c r="B1241">
        <v>-7.427819696764466E-3</v>
      </c>
    </row>
    <row r="1242" spans="1:2" x14ac:dyDescent="0.35">
      <c r="A1242">
        <v>46059</v>
      </c>
      <c r="B1242">
        <v>1.558222240443027E-2</v>
      </c>
    </row>
    <row r="1243" spans="1:2" x14ac:dyDescent="0.35">
      <c r="A1243">
        <v>46062</v>
      </c>
      <c r="B1243">
        <v>6.7701020706199492E-3</v>
      </c>
    </row>
    <row r="1244" spans="1:2" x14ac:dyDescent="0.35">
      <c r="A1244">
        <v>46063</v>
      </c>
      <c r="B1244">
        <v>8.4389053104924985E-4</v>
      </c>
    </row>
    <row r="1245" spans="1:2" x14ac:dyDescent="0.35">
      <c r="A1245">
        <v>46064</v>
      </c>
      <c r="B1245">
        <v>2.2040092134064E-3</v>
      </c>
    </row>
    <row r="1246" spans="1:2" x14ac:dyDescent="0.35">
      <c r="A1246">
        <v>46065</v>
      </c>
      <c r="B1246">
        <v>-9.2318601839297167E-3</v>
      </c>
    </row>
    <row r="1247" spans="1:2" x14ac:dyDescent="0.35">
      <c r="A1247">
        <v>46066</v>
      </c>
      <c r="B1247">
        <v>6.4369885415975084E-3</v>
      </c>
    </row>
    <row r="1248" spans="1:2" x14ac:dyDescent="0.35">
      <c r="A1248">
        <v>46070</v>
      </c>
      <c r="B1248">
        <v>-2.9278275577930761E-3</v>
      </c>
    </row>
    <row r="1249" spans="1:2" x14ac:dyDescent="0.35">
      <c r="A1249">
        <v>46071</v>
      </c>
      <c r="B1249">
        <v>4.4983363823427073E-3</v>
      </c>
    </row>
    <row r="1250" spans="1:2" x14ac:dyDescent="0.35">
      <c r="A1250">
        <v>46072</v>
      </c>
      <c r="B1250">
        <v>2.9035982985229161E-4</v>
      </c>
    </row>
    <row r="1251" spans="1:2" x14ac:dyDescent="0.35">
      <c r="A1251">
        <v>46073</v>
      </c>
      <c r="B1251">
        <v>6.4491537756405934E-3</v>
      </c>
    </row>
    <row r="1252" spans="1:2" x14ac:dyDescent="0.35">
      <c r="A1252">
        <v>46076</v>
      </c>
      <c r="B1252">
        <v>-1.0932511084491251E-3</v>
      </c>
    </row>
    <row r="1253" spans="1:2" x14ac:dyDescent="0.35">
      <c r="A1253">
        <v>46077</v>
      </c>
      <c r="B1253">
        <v>2.874205024234992E-3</v>
      </c>
    </row>
    <row r="1254" spans="1:2" x14ac:dyDescent="0.35">
      <c r="A1254">
        <v>46078</v>
      </c>
      <c r="B1254">
        <v>3.7173339376076332E-3</v>
      </c>
    </row>
    <row r="1255" spans="1:2" x14ac:dyDescent="0.35">
      <c r="A1255">
        <v>46079</v>
      </c>
      <c r="B1255">
        <v>-2.9214635628583359E-5</v>
      </c>
    </row>
    <row r="1256" spans="1:2" x14ac:dyDescent="0.35">
      <c r="A1256">
        <v>46080</v>
      </c>
      <c r="B1256">
        <v>6.3931383949330817E-4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27F3-7753-4A93-BA51-769D7E03E08C}">
  <dimension ref="A1:I1256"/>
  <sheetViews>
    <sheetView workbookViewId="0">
      <selection activeCell="H15" sqref="H15"/>
    </sheetView>
  </sheetViews>
  <sheetFormatPr defaultRowHeight="14.5" x14ac:dyDescent="0.35"/>
  <cols>
    <col min="1" max="1" width="12.81640625" style="2" customWidth="1"/>
    <col min="2" max="2" width="26" customWidth="1"/>
    <col min="3" max="3" width="22.1796875" customWidth="1"/>
    <col min="5" max="5" width="12.36328125" customWidth="1"/>
    <col min="6" max="6" width="21.54296875" style="1" customWidth="1"/>
    <col min="8" max="8" width="29.36328125" customWidth="1"/>
    <col min="9" max="9" width="10.08984375" bestFit="1" customWidth="1"/>
  </cols>
  <sheetData>
    <row r="1" spans="1:9" x14ac:dyDescent="0.35">
      <c r="A1" s="2" t="s">
        <v>0</v>
      </c>
      <c r="B1" t="s">
        <v>4</v>
      </c>
      <c r="C1" t="s">
        <v>6</v>
      </c>
      <c r="D1" t="s">
        <v>2</v>
      </c>
      <c r="E1" t="s">
        <v>3</v>
      </c>
      <c r="F1" s="1" t="s">
        <v>5</v>
      </c>
    </row>
    <row r="2" spans="1:9" x14ac:dyDescent="0.35">
      <c r="A2" s="2">
        <v>44257</v>
      </c>
      <c r="B2">
        <v>-4.5530276567868101E-3</v>
      </c>
      <c r="C2">
        <v>10000</v>
      </c>
      <c r="D2">
        <f>C2</f>
        <v>10000</v>
      </c>
      <c r="E2">
        <f>(C2/D2)-1</f>
        <v>0</v>
      </c>
      <c r="F2" s="1">
        <f>C2/$C$2-1</f>
        <v>0</v>
      </c>
      <c r="H2" t="s">
        <v>7</v>
      </c>
      <c r="I2">
        <f>MIN(E:E)</f>
        <v>-0.21520667554371964</v>
      </c>
    </row>
    <row r="3" spans="1:9" x14ac:dyDescent="0.35">
      <c r="A3" s="2">
        <v>44258</v>
      </c>
      <c r="B3">
        <v>-8.2330290706163836E-3</v>
      </c>
      <c r="C3">
        <f>C2*(1+B3)</f>
        <v>9917.6697092938357</v>
      </c>
      <c r="D3">
        <f>MAX(D2,C3)</f>
        <v>10000</v>
      </c>
      <c r="E3">
        <f t="shared" ref="E3:E66" si="0">(C3/D3)-1</f>
        <v>-8.2330290706164044E-3</v>
      </c>
      <c r="F3" s="1">
        <f t="shared" ref="F3:F66" si="1">C3/$C$2-1</f>
        <v>-8.2330290706164044E-3</v>
      </c>
      <c r="H3" t="s">
        <v>35</v>
      </c>
      <c r="I3">
        <f>MATCH(I2,E:E,0)</f>
        <v>412</v>
      </c>
    </row>
    <row r="4" spans="1:9" x14ac:dyDescent="0.35">
      <c r="A4" s="2">
        <v>44259</v>
      </c>
      <c r="B4">
        <v>-9.8799038899399332E-3</v>
      </c>
      <c r="C4">
        <f t="shared" ref="C4:C67" si="2">C3*(1+B4)</f>
        <v>9819.6840857538427</v>
      </c>
      <c r="D4">
        <f t="shared" ref="D4:D67" si="3">MAX(D3,C4)</f>
        <v>10000</v>
      </c>
      <c r="E4">
        <f t="shared" si="0"/>
        <v>-1.8031591424615745E-2</v>
      </c>
      <c r="F4" s="1">
        <f t="shared" si="1"/>
        <v>-1.8031591424615745E-2</v>
      </c>
      <c r="H4" t="s">
        <v>36</v>
      </c>
      <c r="I4" s="12" cm="1">
        <f t="array" ref="I4">INDEX(A:A,I3)</f>
        <v>44848</v>
      </c>
    </row>
    <row r="5" spans="1:9" x14ac:dyDescent="0.35">
      <c r="A5" s="2">
        <v>44260</v>
      </c>
      <c r="B5">
        <v>8.867536710381466E-3</v>
      </c>
      <c r="C5">
        <f t="shared" si="2"/>
        <v>9906.760494868613</v>
      </c>
      <c r="D5">
        <f t="shared" si="3"/>
        <v>10000</v>
      </c>
      <c r="E5">
        <f t="shared" si="0"/>
        <v>-9.3239505131387235E-3</v>
      </c>
      <c r="F5" s="1">
        <f t="shared" si="1"/>
        <v>-9.3239505131387235E-3</v>
      </c>
      <c r="H5" t="s">
        <v>37</v>
      </c>
      <c r="I5" cm="1">
        <f t="array" ref="I5">LOOKUP(2,1/(E$2:INDEX(E:E,I3)=0),ROW(E$2:INDEX(E:E,I3)))</f>
        <v>178</v>
      </c>
    </row>
    <row r="6" spans="1:9" x14ac:dyDescent="0.35">
      <c r="A6" s="2">
        <v>44263</v>
      </c>
      <c r="B6">
        <v>-8.569829878165033E-3</v>
      </c>
      <c r="C6">
        <f t="shared" si="2"/>
        <v>9821.8612427838634</v>
      </c>
      <c r="D6">
        <f t="shared" si="3"/>
        <v>10000</v>
      </c>
      <c r="E6">
        <f t="shared" si="0"/>
        <v>-1.7813875721613637E-2</v>
      </c>
      <c r="F6" s="1">
        <f t="shared" si="1"/>
        <v>-1.7813875721613637E-2</v>
      </c>
      <c r="H6" t="s">
        <v>38</v>
      </c>
      <c r="I6" s="12" cm="1">
        <f t="array" ref="I6">INDEX(A:A,I5)</f>
        <v>44509</v>
      </c>
    </row>
    <row r="7" spans="1:9" x14ac:dyDescent="0.35">
      <c r="A7" s="2">
        <v>44264</v>
      </c>
      <c r="B7">
        <v>1.3798178428642239E-2</v>
      </c>
      <c r="C7">
        <f t="shared" si="2"/>
        <v>9957.3850367131618</v>
      </c>
      <c r="D7">
        <f t="shared" si="3"/>
        <v>10000</v>
      </c>
      <c r="E7">
        <f t="shared" si="0"/>
        <v>-4.2614963286837781E-3</v>
      </c>
      <c r="F7" s="1">
        <f t="shared" si="1"/>
        <v>-4.2614963286837781E-3</v>
      </c>
      <c r="H7" t="s">
        <v>39</v>
      </c>
      <c r="I7">
        <f>I3-I5</f>
        <v>234</v>
      </c>
    </row>
    <row r="8" spans="1:9" x14ac:dyDescent="0.35">
      <c r="A8" s="2">
        <v>44265</v>
      </c>
      <c r="B8">
        <v>4.4956067473984583E-3</v>
      </c>
      <c r="C8">
        <f t="shared" si="2"/>
        <v>10002.149524070654</v>
      </c>
      <c r="D8">
        <f t="shared" si="3"/>
        <v>10002.149524070654</v>
      </c>
      <c r="E8">
        <f t="shared" si="0"/>
        <v>0</v>
      </c>
      <c r="F8" s="1">
        <f t="shared" si="1"/>
        <v>2.1495240706537189E-4</v>
      </c>
      <c r="H8" t="s">
        <v>40</v>
      </c>
      <c r="I8">
        <f>I4-I6</f>
        <v>339</v>
      </c>
    </row>
    <row r="9" spans="1:9" x14ac:dyDescent="0.35">
      <c r="A9" s="2">
        <v>44266</v>
      </c>
      <c r="B9">
        <v>9.5529001250019251E-3</v>
      </c>
      <c r="C9">
        <f t="shared" si="2"/>
        <v>10097.699059509436</v>
      </c>
      <c r="D9">
        <f t="shared" si="3"/>
        <v>10097.699059509436</v>
      </c>
      <c r="E9">
        <f t="shared" si="0"/>
        <v>0</v>
      </c>
      <c r="F9" s="1">
        <f t="shared" si="1"/>
        <v>9.7699059509435138E-3</v>
      </c>
      <c r="H9" t="s">
        <v>41</v>
      </c>
      <c r="I9">
        <f>MATCH(0,INDEX(E:E,I3):E$1256,0)+I3-1</f>
        <v>812</v>
      </c>
    </row>
    <row r="10" spans="1:9" x14ac:dyDescent="0.35">
      <c r="A10" s="2">
        <v>44267</v>
      </c>
      <c r="B10">
        <v>-3.9118062340908156E-3</v>
      </c>
      <c r="C10">
        <f t="shared" si="2"/>
        <v>10058.198817378474</v>
      </c>
      <c r="D10">
        <f t="shared" si="3"/>
        <v>10097.699059509436</v>
      </c>
      <c r="E10">
        <f t="shared" si="0"/>
        <v>-3.91180623409082E-3</v>
      </c>
      <c r="F10" s="1">
        <f t="shared" si="1"/>
        <v>5.819881737847421E-3</v>
      </c>
      <c r="H10" t="s">
        <v>42</v>
      </c>
      <c r="I10" s="12" cm="1">
        <f t="array" ref="I10">INDEX(A:A,I9)</f>
        <v>45432</v>
      </c>
    </row>
    <row r="11" spans="1:9" x14ac:dyDescent="0.35">
      <c r="A11" s="2">
        <v>44270</v>
      </c>
      <c r="B11">
        <v>4.1527879598180079E-3</v>
      </c>
      <c r="C11">
        <f t="shared" si="2"/>
        <v>10099.968384324739</v>
      </c>
      <c r="D11">
        <f t="shared" si="3"/>
        <v>10099.968384324739</v>
      </c>
      <c r="E11">
        <f t="shared" si="0"/>
        <v>0</v>
      </c>
      <c r="F11" s="1">
        <f t="shared" si="1"/>
        <v>9.9968384324737869E-3</v>
      </c>
      <c r="H11" t="s">
        <v>43</v>
      </c>
      <c r="I11">
        <f>I9-I5</f>
        <v>634</v>
      </c>
    </row>
    <row r="12" spans="1:9" x14ac:dyDescent="0.35">
      <c r="A12" s="2">
        <v>44271</v>
      </c>
      <c r="B12">
        <v>-1.7450739008057501E-3</v>
      </c>
      <c r="C12">
        <f t="shared" si="2"/>
        <v>10082.34319309829</v>
      </c>
      <c r="D12">
        <f t="shared" si="3"/>
        <v>10099.968384324739</v>
      </c>
      <c r="E12">
        <f t="shared" si="0"/>
        <v>-1.7450739008058047E-3</v>
      </c>
      <c r="F12" s="1">
        <f t="shared" si="1"/>
        <v>8.2343193098288747E-3</v>
      </c>
      <c r="H12" t="s">
        <v>44</v>
      </c>
      <c r="I12">
        <f>I10-I6</f>
        <v>923</v>
      </c>
    </row>
    <row r="13" spans="1:9" x14ac:dyDescent="0.35">
      <c r="A13" s="2">
        <v>44272</v>
      </c>
      <c r="B13">
        <v>1.9777856901201079E-3</v>
      </c>
      <c r="C13">
        <f t="shared" si="2"/>
        <v>10102.283907188481</v>
      </c>
      <c r="D13">
        <f t="shared" si="3"/>
        <v>10102.283907188481</v>
      </c>
      <c r="E13">
        <f t="shared" si="0"/>
        <v>0</v>
      </c>
      <c r="F13" s="1">
        <f t="shared" si="1"/>
        <v>1.0228390718848068E-2</v>
      </c>
    </row>
    <row r="14" spans="1:9" x14ac:dyDescent="0.35">
      <c r="A14" s="2">
        <v>44273</v>
      </c>
      <c r="B14">
        <v>-1.635023801388193E-2</v>
      </c>
      <c r="C14">
        <f t="shared" si="2"/>
        <v>9937.1091608221395</v>
      </c>
      <c r="D14">
        <f t="shared" si="3"/>
        <v>10102.283907188481</v>
      </c>
      <c r="E14">
        <f t="shared" si="0"/>
        <v>-1.6350238013882024E-2</v>
      </c>
      <c r="F14" s="1">
        <f t="shared" si="1"/>
        <v>-6.2890839177860425E-3</v>
      </c>
      <c r="H14">
        <f>C1256/C2 -1</f>
        <v>0.46472046383663246</v>
      </c>
    </row>
    <row r="15" spans="1:9" x14ac:dyDescent="0.35">
      <c r="A15" s="2">
        <v>44274</v>
      </c>
      <c r="B15">
        <v>3.9713820205584498E-3</v>
      </c>
      <c r="C15">
        <f t="shared" si="2"/>
        <v>9976.5732174797558</v>
      </c>
      <c r="D15">
        <f t="shared" si="3"/>
        <v>10102.283907188481</v>
      </c>
      <c r="E15">
        <f t="shared" si="0"/>
        <v>-1.2443789034603636E-2</v>
      </c>
      <c r="F15" s="1">
        <f t="shared" si="1"/>
        <v>-2.3426782520243883E-3</v>
      </c>
    </row>
    <row r="16" spans="1:9" x14ac:dyDescent="0.35">
      <c r="A16" s="2">
        <v>44277</v>
      </c>
      <c r="B16">
        <v>3.5532002460524331E-3</v>
      </c>
      <c r="C16">
        <f t="shared" si="2"/>
        <v>10012.021979890864</v>
      </c>
      <c r="D16">
        <f t="shared" si="3"/>
        <v>10102.283907188481</v>
      </c>
      <c r="E16">
        <f t="shared" si="0"/>
        <v>-8.934804062810886E-3</v>
      </c>
      <c r="F16" s="1">
        <f t="shared" si="1"/>
        <v>1.2021979890863843E-3</v>
      </c>
    </row>
    <row r="17" spans="1:6" x14ac:dyDescent="0.35">
      <c r="A17" s="2">
        <v>44278</v>
      </c>
      <c r="B17">
        <v>-8.3515841186782482E-3</v>
      </c>
      <c r="C17">
        <f t="shared" si="2"/>
        <v>9928.4057361277501</v>
      </c>
      <c r="D17">
        <f t="shared" si="3"/>
        <v>10102.283907188481</v>
      </c>
      <c r="E17">
        <f t="shared" si="0"/>
        <v>-1.7211768413774697E-2</v>
      </c>
      <c r="F17" s="1">
        <f t="shared" si="1"/>
        <v>-7.1594263872249986E-3</v>
      </c>
    </row>
    <row r="18" spans="1:6" x14ac:dyDescent="0.35">
      <c r="A18" s="2">
        <v>44279</v>
      </c>
      <c r="B18">
        <v>-3.2094293127897001E-3</v>
      </c>
      <c r="C18">
        <f t="shared" si="2"/>
        <v>9896.5412197289534</v>
      </c>
      <c r="D18">
        <f t="shared" si="3"/>
        <v>10102.283907188481</v>
      </c>
      <c r="E18">
        <f t="shared" si="0"/>
        <v>-2.0365957772492171E-2</v>
      </c>
      <c r="F18" s="1">
        <f t="shared" si="1"/>
        <v>-1.0345878027104627E-2</v>
      </c>
    </row>
    <row r="19" spans="1:6" x14ac:dyDescent="0.35">
      <c r="A19" s="2">
        <v>44280</v>
      </c>
      <c r="B19">
        <v>1.2468513300112421E-3</v>
      </c>
      <c r="C19">
        <f t="shared" si="2"/>
        <v>9908.8807353112843</v>
      </c>
      <c r="D19">
        <f t="shared" si="3"/>
        <v>10102.283907188481</v>
      </c>
      <c r="E19">
        <f t="shared" si="0"/>
        <v>-1.9144499764016443E-2</v>
      </c>
      <c r="F19" s="1">
        <f t="shared" si="1"/>
        <v>-9.1119264688716006E-3</v>
      </c>
    </row>
    <row r="20" spans="1:6" x14ac:dyDescent="0.35">
      <c r="A20" s="2">
        <v>44281</v>
      </c>
      <c r="B20">
        <v>1.099987295107294E-2</v>
      </c>
      <c r="C20">
        <f t="shared" si="2"/>
        <v>10017.877164487043</v>
      </c>
      <c r="D20">
        <f t="shared" si="3"/>
        <v>10102.283907188481</v>
      </c>
      <c r="E20">
        <f t="shared" si="0"/>
        <v>-8.3552138780594865E-3</v>
      </c>
      <c r="F20" s="1">
        <f t="shared" si="1"/>
        <v>1.7877164487043462E-3</v>
      </c>
    </row>
    <row r="21" spans="1:6" x14ac:dyDescent="0.35">
      <c r="A21" s="2">
        <v>44284</v>
      </c>
      <c r="B21">
        <v>-5.838232294562375E-3</v>
      </c>
      <c r="C21">
        <f t="shared" si="2"/>
        <v>9959.390470502376</v>
      </c>
      <c r="D21">
        <f t="shared" si="3"/>
        <v>10102.283907188481</v>
      </c>
      <c r="E21">
        <f t="shared" si="0"/>
        <v>-1.4144666493130953E-2</v>
      </c>
      <c r="F21" s="1">
        <f t="shared" si="1"/>
        <v>-4.0609529497623864E-3</v>
      </c>
    </row>
    <row r="22" spans="1:6" x14ac:dyDescent="0.35">
      <c r="A22" s="2">
        <v>44285</v>
      </c>
      <c r="B22">
        <v>-1.3152414710361829E-3</v>
      </c>
      <c r="C22">
        <f t="shared" si="2"/>
        <v>9946.2914671293274</v>
      </c>
      <c r="D22">
        <f t="shared" si="3"/>
        <v>10102.283907188481</v>
      </c>
      <c r="E22">
        <f t="shared" si="0"/>
        <v>-1.5441304312201476E-2</v>
      </c>
      <c r="F22" s="1">
        <f t="shared" si="1"/>
        <v>-5.3708532870672121E-3</v>
      </c>
    </row>
    <row r="23" spans="1:6" x14ac:dyDescent="0.35">
      <c r="A23" s="2">
        <v>44286</v>
      </c>
      <c r="B23">
        <v>4.0481023469577087E-3</v>
      </c>
      <c r="C23">
        <f t="shared" si="2"/>
        <v>9986.5550729609386</v>
      </c>
      <c r="D23">
        <f t="shared" si="3"/>
        <v>10102.283907188481</v>
      </c>
      <c r="E23">
        <f t="shared" si="0"/>
        <v>-1.1455709945470183E-2</v>
      </c>
      <c r="F23" s="1">
        <f t="shared" si="1"/>
        <v>-1.3444927039061305E-3</v>
      </c>
    </row>
    <row r="24" spans="1:6" x14ac:dyDescent="0.35">
      <c r="A24" s="2">
        <v>44287</v>
      </c>
      <c r="B24">
        <v>1.1699795117943459E-2</v>
      </c>
      <c r="C24">
        <f t="shared" si="2"/>
        <v>10103.39572124864</v>
      </c>
      <c r="D24">
        <f t="shared" si="3"/>
        <v>10103.39572124864</v>
      </c>
      <c r="E24">
        <f t="shared" si="0"/>
        <v>0</v>
      </c>
      <c r="F24" s="1">
        <f t="shared" si="1"/>
        <v>1.0339572124864027E-2</v>
      </c>
    </row>
    <row r="25" spans="1:6" x14ac:dyDescent="0.35">
      <c r="A25" s="2">
        <v>44291</v>
      </c>
      <c r="B25">
        <v>2.9446353689759159E-3</v>
      </c>
      <c r="C25">
        <f t="shared" si="2"/>
        <v>10133.146537636188</v>
      </c>
      <c r="D25">
        <f t="shared" si="3"/>
        <v>10133.146537636188</v>
      </c>
      <c r="E25">
        <f t="shared" si="0"/>
        <v>0</v>
      </c>
      <c r="F25" s="1">
        <f t="shared" si="1"/>
        <v>1.3314653763618844E-2</v>
      </c>
    </row>
    <row r="26" spans="1:6" x14ac:dyDescent="0.35">
      <c r="A26" s="2">
        <v>44292</v>
      </c>
      <c r="B26">
        <v>2.0792802919837919E-3</v>
      </c>
      <c r="C26">
        <f t="shared" si="2"/>
        <v>10154.216189527679</v>
      </c>
      <c r="D26">
        <f t="shared" si="3"/>
        <v>10154.216189527679</v>
      </c>
      <c r="E26">
        <f t="shared" si="0"/>
        <v>0</v>
      </c>
      <c r="F26" s="1">
        <f t="shared" si="1"/>
        <v>1.5421618952767835E-2</v>
      </c>
    </row>
    <row r="27" spans="1:6" x14ac:dyDescent="0.35">
      <c r="A27" s="2">
        <v>44293</v>
      </c>
      <c r="B27">
        <v>-2.8496366019297079E-3</v>
      </c>
      <c r="C27">
        <f t="shared" si="2"/>
        <v>10125.280363410093</v>
      </c>
      <c r="D27">
        <f t="shared" si="3"/>
        <v>10154.216189527679</v>
      </c>
      <c r="E27">
        <f t="shared" si="0"/>
        <v>-2.849636601929717E-3</v>
      </c>
      <c r="F27" s="1">
        <f t="shared" si="1"/>
        <v>1.2528036341009186E-2</v>
      </c>
    </row>
    <row r="28" spans="1:6" x14ac:dyDescent="0.35">
      <c r="A28" s="2">
        <v>44294</v>
      </c>
      <c r="B28">
        <v>5.4732530867120004E-3</v>
      </c>
      <c r="C28">
        <f t="shared" si="2"/>
        <v>10180.698585412953</v>
      </c>
      <c r="D28">
        <f t="shared" si="3"/>
        <v>10180.698585412953</v>
      </c>
      <c r="E28">
        <f t="shared" si="0"/>
        <v>0</v>
      </c>
      <c r="F28" s="1">
        <f t="shared" si="1"/>
        <v>1.8069858541295281E-2</v>
      </c>
    </row>
    <row r="29" spans="1:6" x14ac:dyDescent="0.35">
      <c r="A29" s="2">
        <v>44295</v>
      </c>
      <c r="B29">
        <v>-1.10365397839525E-3</v>
      </c>
      <c r="C29">
        <f t="shared" si="2"/>
        <v>10169.462616916318</v>
      </c>
      <c r="D29">
        <f t="shared" si="3"/>
        <v>10180.698585412953</v>
      </c>
      <c r="E29">
        <f t="shared" si="0"/>
        <v>-1.1036539783952914E-3</v>
      </c>
      <c r="F29" s="1">
        <f t="shared" si="1"/>
        <v>1.6946261691631825E-2</v>
      </c>
    </row>
    <row r="30" spans="1:6" x14ac:dyDescent="0.35">
      <c r="A30" s="2">
        <v>44298</v>
      </c>
      <c r="B30">
        <v>-1.5210004721052421E-3</v>
      </c>
      <c r="C30">
        <f t="shared" si="2"/>
        <v>10153.994859474933</v>
      </c>
      <c r="D30">
        <f t="shared" si="3"/>
        <v>10180.698585412953</v>
      </c>
      <c r="E30">
        <f t="shared" si="0"/>
        <v>-2.6229757922782149E-3</v>
      </c>
      <c r="F30" s="1">
        <f t="shared" si="1"/>
        <v>1.5399485947493297E-2</v>
      </c>
    </row>
    <row r="31" spans="1:6" x14ac:dyDescent="0.35">
      <c r="A31" s="2">
        <v>44299</v>
      </c>
      <c r="B31">
        <v>5.1253878756665743E-3</v>
      </c>
      <c r="C31">
        <f t="shared" si="2"/>
        <v>10206.038021617265</v>
      </c>
      <c r="D31">
        <f t="shared" si="3"/>
        <v>10206.038021617265</v>
      </c>
      <c r="E31">
        <f t="shared" si="0"/>
        <v>0</v>
      </c>
      <c r="F31" s="1">
        <f t="shared" si="1"/>
        <v>2.0603802161726525E-2</v>
      </c>
    </row>
    <row r="32" spans="1:6" x14ac:dyDescent="0.35">
      <c r="A32" s="2">
        <v>44300</v>
      </c>
      <c r="B32">
        <v>6.1513930505493336E-4</v>
      </c>
      <c r="C32">
        <f t="shared" si="2"/>
        <v>10212.316156753246</v>
      </c>
      <c r="D32">
        <f t="shared" si="3"/>
        <v>10212.316156753246</v>
      </c>
      <c r="E32">
        <f t="shared" si="0"/>
        <v>0</v>
      </c>
      <c r="F32" s="1">
        <f t="shared" si="1"/>
        <v>2.12316156753245E-2</v>
      </c>
    </row>
    <row r="33" spans="1:6" x14ac:dyDescent="0.35">
      <c r="A33" s="2">
        <v>44301</v>
      </c>
      <c r="B33">
        <v>1.0085929917851131E-2</v>
      </c>
      <c r="C33">
        <f t="shared" si="2"/>
        <v>10315.316861809197</v>
      </c>
      <c r="D33">
        <f t="shared" si="3"/>
        <v>10315.316861809197</v>
      </c>
      <c r="E33">
        <f t="shared" si="0"/>
        <v>0</v>
      </c>
      <c r="F33" s="1">
        <f t="shared" si="1"/>
        <v>3.1531686180919616E-2</v>
      </c>
    </row>
    <row r="34" spans="1:6" x14ac:dyDescent="0.35">
      <c r="A34" s="2">
        <v>44302</v>
      </c>
      <c r="B34">
        <v>2.5936712457393319E-4</v>
      </c>
      <c r="C34">
        <f t="shared" si="2"/>
        <v>10317.992315882713</v>
      </c>
      <c r="D34">
        <f t="shared" si="3"/>
        <v>10317.992315882713</v>
      </c>
      <c r="E34">
        <f t="shared" si="0"/>
        <v>0</v>
      </c>
      <c r="F34" s="1">
        <f t="shared" si="1"/>
        <v>3.1799231588271359E-2</v>
      </c>
    </row>
    <row r="35" spans="1:6" x14ac:dyDescent="0.35">
      <c r="A35" s="2">
        <v>44305</v>
      </c>
      <c r="B35">
        <v>-3.355811201310158E-3</v>
      </c>
      <c r="C35">
        <f t="shared" si="2"/>
        <v>10283.367081694043</v>
      </c>
      <c r="D35">
        <f t="shared" si="3"/>
        <v>10317.992315882713</v>
      </c>
      <c r="E35">
        <f t="shared" si="0"/>
        <v>-3.3558112013100105E-3</v>
      </c>
      <c r="F35" s="1">
        <f t="shared" si="1"/>
        <v>2.8336708169404368E-2</v>
      </c>
    </row>
    <row r="36" spans="1:6" x14ac:dyDescent="0.35">
      <c r="A36" s="2">
        <v>44306</v>
      </c>
      <c r="B36">
        <v>-3.611054729936575E-3</v>
      </c>
      <c r="C36">
        <f t="shared" si="2"/>
        <v>10246.233280354018</v>
      </c>
      <c r="D36">
        <f t="shared" si="3"/>
        <v>10317.992315882713</v>
      </c>
      <c r="E36">
        <f t="shared" si="0"/>
        <v>-6.9547479133353907E-3</v>
      </c>
      <c r="F36" s="1">
        <f t="shared" si="1"/>
        <v>2.4623328035401792E-2</v>
      </c>
    </row>
    <row r="37" spans="1:6" x14ac:dyDescent="0.35">
      <c r="A37" s="2">
        <v>44307</v>
      </c>
      <c r="B37">
        <v>6.7244949902057656E-3</v>
      </c>
      <c r="C37">
        <f t="shared" si="2"/>
        <v>10315.134024716237</v>
      </c>
      <c r="D37">
        <f t="shared" si="3"/>
        <v>10317.992315882713</v>
      </c>
      <c r="E37">
        <f t="shared" si="0"/>
        <v>-2.770200906310194E-4</v>
      </c>
      <c r="F37" s="1">
        <f t="shared" si="1"/>
        <v>3.1513402471623708E-2</v>
      </c>
    </row>
    <row r="38" spans="1:6" x14ac:dyDescent="0.35">
      <c r="A38" s="2">
        <v>44308</v>
      </c>
      <c r="B38">
        <v>-2.6404328531839591E-3</v>
      </c>
      <c r="C38">
        <f t="shared" si="2"/>
        <v>10287.897605952381</v>
      </c>
      <c r="D38">
        <f t="shared" si="3"/>
        <v>10317.992315882713</v>
      </c>
      <c r="E38">
        <f t="shared" si="0"/>
        <v>-2.9167214908666361E-3</v>
      </c>
      <c r="F38" s="1">
        <f t="shared" si="1"/>
        <v>2.8789760595238079E-2</v>
      </c>
    </row>
    <row r="39" spans="1:6" x14ac:dyDescent="0.35">
      <c r="A39" s="2">
        <v>44309</v>
      </c>
      <c r="B39">
        <v>6.4043487703787736E-3</v>
      </c>
      <c r="C39">
        <f t="shared" si="2"/>
        <v>10353.784890334846</v>
      </c>
      <c r="D39">
        <f t="shared" si="3"/>
        <v>10353.784890334846</v>
      </c>
      <c r="E39">
        <f t="shared" si="0"/>
        <v>0</v>
      </c>
      <c r="F39" s="1">
        <f t="shared" si="1"/>
        <v>3.5378489033484506E-2</v>
      </c>
    </row>
    <row r="40" spans="1:6" x14ac:dyDescent="0.35">
      <c r="A40" s="2">
        <v>44312</v>
      </c>
      <c r="B40">
        <v>2.505897936608016E-3</v>
      </c>
      <c r="C40">
        <f t="shared" si="2"/>
        <v>10379.730418527619</v>
      </c>
      <c r="D40">
        <f t="shared" si="3"/>
        <v>10379.730418527619</v>
      </c>
      <c r="E40">
        <f t="shared" si="0"/>
        <v>0</v>
      </c>
      <c r="F40" s="1">
        <f t="shared" si="1"/>
        <v>3.7973041852761957E-2</v>
      </c>
    </row>
    <row r="41" spans="1:6" x14ac:dyDescent="0.35">
      <c r="A41" s="2">
        <v>44313</v>
      </c>
      <c r="B41">
        <v>-1.6315582675080331E-3</v>
      </c>
      <c r="C41">
        <f t="shared" si="2"/>
        <v>10362.795283548765</v>
      </c>
      <c r="D41">
        <f t="shared" si="3"/>
        <v>10379.730418527619</v>
      </c>
      <c r="E41">
        <f t="shared" si="0"/>
        <v>-1.6315582675080487E-3</v>
      </c>
      <c r="F41" s="1">
        <f t="shared" si="1"/>
        <v>3.6279528354876467E-2</v>
      </c>
    </row>
    <row r="42" spans="1:6" x14ac:dyDescent="0.35">
      <c r="A42" s="2">
        <v>44314</v>
      </c>
      <c r="B42">
        <v>1.218260689818534E-3</v>
      </c>
      <c r="C42">
        <f t="shared" si="2"/>
        <v>10375.41986967935</v>
      </c>
      <c r="D42">
        <f t="shared" si="3"/>
        <v>10379.730418527619</v>
      </c>
      <c r="E42">
        <f t="shared" si="0"/>
        <v>-4.1528524098988218E-4</v>
      </c>
      <c r="F42" s="1">
        <f t="shared" si="1"/>
        <v>3.7541986967934982E-2</v>
      </c>
    </row>
    <row r="43" spans="1:6" x14ac:dyDescent="0.35">
      <c r="A43" s="2">
        <v>44315</v>
      </c>
      <c r="B43">
        <v>8.8597956647134993E-4</v>
      </c>
      <c r="C43">
        <f t="shared" si="2"/>
        <v>10384.612279677447</v>
      </c>
      <c r="D43">
        <f t="shared" si="3"/>
        <v>10384.612279677447</v>
      </c>
      <c r="E43">
        <f t="shared" si="0"/>
        <v>0</v>
      </c>
      <c r="F43" s="1">
        <f t="shared" si="1"/>
        <v>3.846122796774476E-2</v>
      </c>
    </row>
    <row r="44" spans="1:6" x14ac:dyDescent="0.35">
      <c r="A44" s="2">
        <v>44316</v>
      </c>
      <c r="B44">
        <v>-4.9846266625545249E-3</v>
      </c>
      <c r="C44">
        <f t="shared" si="2"/>
        <v>10332.848864427877</v>
      </c>
      <c r="D44">
        <f t="shared" si="3"/>
        <v>10384.612279677447</v>
      </c>
      <c r="E44">
        <f t="shared" si="0"/>
        <v>-4.9846266625543922E-3</v>
      </c>
      <c r="F44" s="1">
        <f t="shared" si="1"/>
        <v>3.3284886442787709E-2</v>
      </c>
    </row>
    <row r="45" spans="1:6" x14ac:dyDescent="0.35">
      <c r="A45" s="2">
        <v>44319</v>
      </c>
      <c r="B45">
        <v>3.3382086050255341E-3</v>
      </c>
      <c r="C45">
        <f t="shared" si="2"/>
        <v>10367.342069421538</v>
      </c>
      <c r="D45">
        <f t="shared" si="3"/>
        <v>10384.612279677447</v>
      </c>
      <c r="E45">
        <f t="shared" si="0"/>
        <v>-1.6630577811466152E-3</v>
      </c>
      <c r="F45" s="1">
        <f t="shared" si="1"/>
        <v>3.6734206942153902E-2</v>
      </c>
    </row>
    <row r="46" spans="1:6" x14ac:dyDescent="0.35">
      <c r="A46" s="2">
        <v>44320</v>
      </c>
      <c r="B46">
        <v>-4.3694066902868816E-3</v>
      </c>
      <c r="C46">
        <f t="shared" si="2"/>
        <v>10322.042935622916</v>
      </c>
      <c r="D46">
        <f t="shared" si="3"/>
        <v>10384.612279677447</v>
      </c>
      <c r="E46">
        <f t="shared" si="0"/>
        <v>-6.0251978956381569E-3</v>
      </c>
      <c r="F46" s="1">
        <f t="shared" si="1"/>
        <v>3.2204293562291708E-2</v>
      </c>
    </row>
    <row r="47" spans="1:6" x14ac:dyDescent="0.35">
      <c r="A47" s="2">
        <v>44321</v>
      </c>
      <c r="B47">
        <v>7.2309456817549978E-4</v>
      </c>
      <c r="C47">
        <f t="shared" si="2"/>
        <v>10329.50674880214</v>
      </c>
      <c r="D47">
        <f t="shared" si="3"/>
        <v>10384.612279677447</v>
      </c>
      <c r="E47">
        <f t="shared" si="0"/>
        <v>-5.3064601153332003E-3</v>
      </c>
      <c r="F47" s="1">
        <f t="shared" si="1"/>
        <v>3.295067488021397E-2</v>
      </c>
    </row>
    <row r="48" spans="1:6" x14ac:dyDescent="0.35">
      <c r="A48" s="2">
        <v>44322</v>
      </c>
      <c r="B48">
        <v>5.4097239059759834E-3</v>
      </c>
      <c r="C48">
        <f t="shared" si="2"/>
        <v>10385.386528398076</v>
      </c>
      <c r="D48">
        <f t="shared" si="3"/>
        <v>10385.386528398076</v>
      </c>
      <c r="E48">
        <f t="shared" si="0"/>
        <v>0</v>
      </c>
      <c r="F48" s="1">
        <f t="shared" si="1"/>
        <v>3.8538652839807508E-2</v>
      </c>
    </row>
    <row r="49" spans="1:6" x14ac:dyDescent="0.35">
      <c r="A49" s="2">
        <v>44323</v>
      </c>
      <c r="B49">
        <v>6.4996740681829987E-3</v>
      </c>
      <c r="C49">
        <f t="shared" si="2"/>
        <v>10452.888155904762</v>
      </c>
      <c r="D49">
        <f t="shared" si="3"/>
        <v>10452.888155904762</v>
      </c>
      <c r="E49">
        <f t="shared" si="0"/>
        <v>0</v>
      </c>
      <c r="F49" s="1">
        <f t="shared" si="1"/>
        <v>4.5288815590476261E-2</v>
      </c>
    </row>
    <row r="50" spans="1:6" x14ac:dyDescent="0.35">
      <c r="A50" s="2">
        <v>44326</v>
      </c>
      <c r="B50">
        <v>-8.9896626483570996E-3</v>
      </c>
      <c r="C50">
        <f t="shared" si="2"/>
        <v>10358.920217682171</v>
      </c>
      <c r="D50">
        <f t="shared" si="3"/>
        <v>10452.888155904762</v>
      </c>
      <c r="E50">
        <f t="shared" si="0"/>
        <v>-8.9896626483570996E-3</v>
      </c>
      <c r="F50" s="1">
        <f t="shared" si="1"/>
        <v>3.5892021768217042E-2</v>
      </c>
    </row>
    <row r="51" spans="1:6" x14ac:dyDescent="0.35">
      <c r="A51" s="2">
        <v>44327</v>
      </c>
      <c r="B51">
        <v>-3.5921455134182581E-3</v>
      </c>
      <c r="C51">
        <f t="shared" si="2"/>
        <v>10321.709468898367</v>
      </c>
      <c r="D51">
        <f t="shared" si="3"/>
        <v>10452.888155904762</v>
      </c>
      <c r="E51">
        <f t="shared" si="0"/>
        <v>-1.2549515985425863E-2</v>
      </c>
      <c r="F51" s="1">
        <f t="shared" si="1"/>
        <v>3.2170946889836793E-2</v>
      </c>
    </row>
    <row r="52" spans="1:6" x14ac:dyDescent="0.35">
      <c r="A52" s="2">
        <v>44328</v>
      </c>
      <c r="B52">
        <v>-1.5425353059144531E-2</v>
      </c>
      <c r="C52">
        <f t="shared" si="2"/>
        <v>10162.493456166694</v>
      </c>
      <c r="D52">
        <f t="shared" si="3"/>
        <v>10452.888155904762</v>
      </c>
      <c r="E52">
        <f t="shared" si="0"/>
        <v>-2.7781288329773779E-2</v>
      </c>
      <c r="F52" s="1">
        <f t="shared" si="1"/>
        <v>1.6249345616669464E-2</v>
      </c>
    </row>
    <row r="53" spans="1:6" x14ac:dyDescent="0.35">
      <c r="A53" s="2">
        <v>44329</v>
      </c>
      <c r="B53">
        <v>3.8276479092715422E-3</v>
      </c>
      <c r="C53">
        <f t="shared" si="2"/>
        <v>10201.391902997177</v>
      </c>
      <c r="D53">
        <f t="shared" si="3"/>
        <v>10452.888155904762</v>
      </c>
      <c r="E53">
        <f t="shared" si="0"/>
        <v>-2.4059977410694544E-2</v>
      </c>
      <c r="F53" s="1">
        <f t="shared" si="1"/>
        <v>2.0139190299717669E-2</v>
      </c>
    </row>
    <row r="54" spans="1:6" x14ac:dyDescent="0.35">
      <c r="A54" s="2">
        <v>44330</v>
      </c>
      <c r="B54">
        <v>1.2175028621934571E-2</v>
      </c>
      <c r="C54">
        <f t="shared" si="2"/>
        <v>10325.594141399739</v>
      </c>
      <c r="D54">
        <f t="shared" si="3"/>
        <v>10452.888155904762</v>
      </c>
      <c r="E54">
        <f t="shared" si="0"/>
        <v>-1.2177879702378269E-2</v>
      </c>
      <c r="F54" s="1">
        <f t="shared" si="1"/>
        <v>3.2559414139973875E-2</v>
      </c>
    </row>
    <row r="55" spans="1:6" x14ac:dyDescent="0.35">
      <c r="A55" s="2">
        <v>44333</v>
      </c>
      <c r="B55">
        <v>7.5178246198550822E-4</v>
      </c>
      <c r="C55">
        <f t="shared" si="2"/>
        <v>10333.356741984824</v>
      </c>
      <c r="D55">
        <f t="shared" si="3"/>
        <v>10452.888155904762</v>
      </c>
      <c r="E55">
        <f t="shared" si="0"/>
        <v>-1.1435252356777226E-2</v>
      </c>
      <c r="F55" s="1">
        <f t="shared" si="1"/>
        <v>3.333567419848249E-2</v>
      </c>
    </row>
    <row r="56" spans="1:6" x14ac:dyDescent="0.35">
      <c r="A56" s="2">
        <v>44334</v>
      </c>
      <c r="B56">
        <v>-1.5273188749346581E-3</v>
      </c>
      <c r="C56">
        <f t="shared" si="2"/>
        <v>10317.574411191357</v>
      </c>
      <c r="D56">
        <f t="shared" si="3"/>
        <v>10452.888155904762</v>
      </c>
      <c r="E56">
        <f t="shared" si="0"/>
        <v>-1.2945105954947689E-2</v>
      </c>
      <c r="F56" s="1">
        <f t="shared" si="1"/>
        <v>3.1757441119135699E-2</v>
      </c>
    </row>
    <row r="57" spans="1:6" x14ac:dyDescent="0.35">
      <c r="A57" s="2">
        <v>44335</v>
      </c>
      <c r="B57">
        <v>-4.479095283755158E-3</v>
      </c>
      <c r="C57">
        <f t="shared" si="2"/>
        <v>10271.361012306397</v>
      </c>
      <c r="D57">
        <f t="shared" si="3"/>
        <v>10452.888155904762</v>
      </c>
      <c r="E57">
        <f t="shared" si="0"/>
        <v>-1.7366218875672357E-2</v>
      </c>
      <c r="F57" s="1">
        <f t="shared" si="1"/>
        <v>2.7136101230639698E-2</v>
      </c>
    </row>
    <row r="58" spans="1:6" x14ac:dyDescent="0.35">
      <c r="A58" s="2">
        <v>44336</v>
      </c>
      <c r="B58">
        <v>7.0473052605239169E-3</v>
      </c>
      <c r="C58">
        <f t="shared" si="2"/>
        <v>10343.746428801165</v>
      </c>
      <c r="D58">
        <f t="shared" si="3"/>
        <v>10452.888155904762</v>
      </c>
      <c r="E58">
        <f t="shared" si="0"/>
        <v>-1.0441298660786247E-2</v>
      </c>
      <c r="F58" s="1">
        <f t="shared" si="1"/>
        <v>3.4374642880116602E-2</v>
      </c>
    </row>
    <row r="59" spans="1:6" x14ac:dyDescent="0.35">
      <c r="A59" s="2">
        <v>44337</v>
      </c>
      <c r="B59">
        <v>5.9467686998333389E-5</v>
      </c>
      <c r="C59">
        <f t="shared" si="2"/>
        <v>10344.361547476183</v>
      </c>
      <c r="D59">
        <f t="shared" si="3"/>
        <v>10452.888155904762</v>
      </c>
      <c r="E59">
        <f t="shared" si="0"/>
        <v>-1.0382451893668598E-2</v>
      </c>
      <c r="F59" s="1">
        <f t="shared" si="1"/>
        <v>3.4436154747618186E-2</v>
      </c>
    </row>
    <row r="60" spans="1:6" x14ac:dyDescent="0.35">
      <c r="A60" s="2">
        <v>44340</v>
      </c>
      <c r="B60">
        <v>7.0396002090471494E-3</v>
      </c>
      <c r="C60">
        <f t="shared" si="2"/>
        <v>10417.181717188256</v>
      </c>
      <c r="D60">
        <f t="shared" si="3"/>
        <v>10452.888155904762</v>
      </c>
      <c r="E60">
        <f t="shared" si="0"/>
        <v>-3.4159399951425584E-3</v>
      </c>
      <c r="F60" s="1">
        <f t="shared" si="1"/>
        <v>4.1718171718825525E-2</v>
      </c>
    </row>
    <row r="61" spans="1:6" x14ac:dyDescent="0.35">
      <c r="A61" s="2">
        <v>44341</v>
      </c>
      <c r="B61">
        <v>1.827044773358925E-3</v>
      </c>
      <c r="C61">
        <f t="shared" si="2"/>
        <v>10436.214374597774</v>
      </c>
      <c r="D61">
        <f t="shared" si="3"/>
        <v>10452.888155904762</v>
      </c>
      <c r="E61">
        <f t="shared" si="0"/>
        <v>-1.5951362970979543E-3</v>
      </c>
      <c r="F61" s="1">
        <f t="shared" si="1"/>
        <v>4.3621437459777423E-2</v>
      </c>
    </row>
    <row r="62" spans="1:6" x14ac:dyDescent="0.35">
      <c r="A62" s="2">
        <v>44342</v>
      </c>
      <c r="B62">
        <v>2.6824415261384668E-3</v>
      </c>
      <c r="C62">
        <f t="shared" si="2"/>
        <v>10464.208909411876</v>
      </c>
      <c r="D62">
        <f t="shared" si="3"/>
        <v>10464.208909411876</v>
      </c>
      <c r="E62">
        <f t="shared" si="0"/>
        <v>0</v>
      </c>
      <c r="F62" s="1">
        <f t="shared" si="1"/>
        <v>4.642089094118762E-2</v>
      </c>
    </row>
    <row r="63" spans="1:6" x14ac:dyDescent="0.35">
      <c r="A63" s="2">
        <v>44343</v>
      </c>
      <c r="B63">
        <v>1.1450841543765499E-3</v>
      </c>
      <c r="C63">
        <f t="shared" si="2"/>
        <v>10476.191309222129</v>
      </c>
      <c r="D63">
        <f t="shared" si="3"/>
        <v>10476.191309222129</v>
      </c>
      <c r="E63">
        <f t="shared" si="0"/>
        <v>0</v>
      </c>
      <c r="F63" s="1">
        <f t="shared" si="1"/>
        <v>4.7619130922212927E-2</v>
      </c>
    </row>
    <row r="64" spans="1:6" x14ac:dyDescent="0.35">
      <c r="A64" s="2">
        <v>44344</v>
      </c>
      <c r="B64">
        <v>1.53920682521812E-3</v>
      </c>
      <c r="C64">
        <f t="shared" si="2"/>
        <v>10492.316334387573</v>
      </c>
      <c r="D64">
        <f t="shared" si="3"/>
        <v>10492.316334387573</v>
      </c>
      <c r="E64">
        <f t="shared" si="0"/>
        <v>0</v>
      </c>
      <c r="F64" s="1">
        <f t="shared" si="1"/>
        <v>4.923163343875725E-2</v>
      </c>
    </row>
    <row r="65" spans="1:6" x14ac:dyDescent="0.35">
      <c r="A65" s="2">
        <v>44348</v>
      </c>
      <c r="B65">
        <v>5.5940098621256587E-3</v>
      </c>
      <c r="C65">
        <f t="shared" si="2"/>
        <v>10551.01045543868</v>
      </c>
      <c r="D65">
        <f t="shared" si="3"/>
        <v>10551.01045543868</v>
      </c>
      <c r="E65">
        <f t="shared" si="0"/>
        <v>0</v>
      </c>
      <c r="F65" s="1">
        <f t="shared" si="1"/>
        <v>5.5101045543868077E-2</v>
      </c>
    </row>
    <row r="66" spans="1:6" x14ac:dyDescent="0.35">
      <c r="A66" s="2">
        <v>44349</v>
      </c>
      <c r="B66">
        <v>3.152743826597033E-3</v>
      </c>
      <c r="C66">
        <f t="shared" si="2"/>
        <v>10584.275088516424</v>
      </c>
      <c r="D66">
        <f t="shared" si="3"/>
        <v>10584.275088516424</v>
      </c>
      <c r="E66">
        <f t="shared" si="0"/>
        <v>0</v>
      </c>
      <c r="F66" s="1">
        <f t="shared" si="1"/>
        <v>5.8427508851642385E-2</v>
      </c>
    </row>
    <row r="67" spans="1:6" x14ac:dyDescent="0.35">
      <c r="A67" s="2">
        <v>44350</v>
      </c>
      <c r="B67">
        <v>-6.8394546448479997E-3</v>
      </c>
      <c r="C67">
        <f t="shared" si="2"/>
        <v>10511.884419099921</v>
      </c>
      <c r="D67">
        <f t="shared" si="3"/>
        <v>10584.275088516424</v>
      </c>
      <c r="E67">
        <f t="shared" ref="E67:E130" si="4">(C67/D67)-1</f>
        <v>-6.8394546448480309E-3</v>
      </c>
      <c r="F67" s="1">
        <f t="shared" ref="F67:F130" si="5">C67/$C$2-1</f>
        <v>5.1188441909992166E-2</v>
      </c>
    </row>
    <row r="68" spans="1:6" x14ac:dyDescent="0.35">
      <c r="A68" s="2">
        <v>44351</v>
      </c>
      <c r="B68">
        <v>8.2383650075614906E-3</v>
      </c>
      <c r="C68">
        <f t="shared" ref="C68:C131" si="6">C67*(1+B68)</f>
        <v>10598.485159861764</v>
      </c>
      <c r="D68">
        <f t="shared" ref="D68:D131" si="7">MAX(D67,C68)</f>
        <v>10598.485159861764</v>
      </c>
      <c r="E68">
        <f t="shared" si="4"/>
        <v>0</v>
      </c>
      <c r="F68" s="1">
        <f t="shared" si="5"/>
        <v>5.9848515986176354E-2</v>
      </c>
    </row>
    <row r="69" spans="1:6" x14ac:dyDescent="0.35">
      <c r="A69" s="2">
        <v>44354</v>
      </c>
      <c r="B69">
        <v>2.2300016425435918E-3</v>
      </c>
      <c r="C69">
        <f t="shared" si="6"/>
        <v>10622.119799176729</v>
      </c>
      <c r="D69">
        <f t="shared" si="7"/>
        <v>10622.119799176729</v>
      </c>
      <c r="E69">
        <f t="shared" si="4"/>
        <v>0</v>
      </c>
      <c r="F69" s="1">
        <f t="shared" si="5"/>
        <v>6.2211979917673021E-2</v>
      </c>
    </row>
    <row r="70" spans="1:6" x14ac:dyDescent="0.35">
      <c r="A70" s="2">
        <v>44355</v>
      </c>
      <c r="B70">
        <v>2.9551136441344091E-3</v>
      </c>
      <c r="C70">
        <f t="shared" si="6"/>
        <v>10653.509370324906</v>
      </c>
      <c r="D70">
        <f t="shared" si="7"/>
        <v>10653.509370324906</v>
      </c>
      <c r="E70">
        <f t="shared" si="4"/>
        <v>0</v>
      </c>
      <c r="F70" s="1">
        <f t="shared" si="5"/>
        <v>6.5350937032490508E-2</v>
      </c>
    </row>
    <row r="71" spans="1:6" x14ac:dyDescent="0.35">
      <c r="A71" s="2">
        <v>44356</v>
      </c>
      <c r="B71">
        <v>-1.950010529592917E-4</v>
      </c>
      <c r="C71">
        <f t="shared" si="6"/>
        <v>10651.431924779981</v>
      </c>
      <c r="D71">
        <f t="shared" si="7"/>
        <v>10653.509370324906</v>
      </c>
      <c r="E71">
        <f t="shared" si="4"/>
        <v>-1.9500105295922054E-4</v>
      </c>
      <c r="F71" s="1">
        <f t="shared" si="5"/>
        <v>6.5143192477998157E-2</v>
      </c>
    </row>
    <row r="72" spans="1:6" x14ac:dyDescent="0.35">
      <c r="A72" s="2">
        <v>44357</v>
      </c>
      <c r="B72">
        <v>4.1177803348053411E-3</v>
      </c>
      <c r="C72">
        <f t="shared" si="6"/>
        <v>10695.292181697358</v>
      </c>
      <c r="D72">
        <f t="shared" si="7"/>
        <v>10695.292181697358</v>
      </c>
      <c r="E72">
        <f t="shared" si="4"/>
        <v>0</v>
      </c>
      <c r="F72" s="1">
        <f t="shared" si="5"/>
        <v>6.9529218169735785E-2</v>
      </c>
    </row>
    <row r="73" spans="1:6" x14ac:dyDescent="0.35">
      <c r="A73" s="2">
        <v>44358</v>
      </c>
      <c r="B73">
        <v>-5.4268146491300007E-4</v>
      </c>
      <c r="C73">
        <f t="shared" si="6"/>
        <v>10689.488044868522</v>
      </c>
      <c r="D73">
        <f t="shared" si="7"/>
        <v>10695.292181697358</v>
      </c>
      <c r="E73">
        <f t="shared" si="4"/>
        <v>-5.426814649129863E-4</v>
      </c>
      <c r="F73" s="1">
        <f t="shared" si="5"/>
        <v>6.8948804486852255E-2</v>
      </c>
    </row>
    <row r="74" spans="1:6" x14ac:dyDescent="0.35">
      <c r="A74" s="2">
        <v>44361</v>
      </c>
      <c r="B74">
        <v>-8.089336109059497E-4</v>
      </c>
      <c r="C74">
        <f t="shared" si="6"/>
        <v>10680.84095870565</v>
      </c>
      <c r="D74">
        <f t="shared" si="7"/>
        <v>10695.292181697358</v>
      </c>
      <c r="E74">
        <f t="shared" si="4"/>
        <v>-1.3511760825419827E-3</v>
      </c>
      <c r="F74" s="1">
        <f t="shared" si="5"/>
        <v>6.8084095870565076E-2</v>
      </c>
    </row>
    <row r="75" spans="1:6" x14ac:dyDescent="0.35">
      <c r="A75" s="2">
        <v>44362</v>
      </c>
      <c r="B75">
        <v>-2.992716566325325E-3</v>
      </c>
      <c r="C75">
        <f t="shared" si="6"/>
        <v>10648.876229026246</v>
      </c>
      <c r="D75">
        <f t="shared" si="7"/>
        <v>10695.292181697358</v>
      </c>
      <c r="E75">
        <f t="shared" si="4"/>
        <v>-4.3398489618210467E-3</v>
      </c>
      <c r="F75" s="1">
        <f t="shared" si="5"/>
        <v>6.4887622902624509E-2</v>
      </c>
    </row>
    <row r="76" spans="1:6" x14ac:dyDescent="0.35">
      <c r="A76" s="2">
        <v>44363</v>
      </c>
      <c r="B76">
        <v>-6.0211398962323323E-3</v>
      </c>
      <c r="C76">
        <f t="shared" si="6"/>
        <v>10584.757855513615</v>
      </c>
      <c r="D76">
        <f t="shared" si="7"/>
        <v>10695.292181697358</v>
      </c>
      <c r="E76">
        <f t="shared" si="4"/>
        <v>-1.0334858020325743E-2</v>
      </c>
      <c r="F76" s="1">
        <f t="shared" si="5"/>
        <v>5.847578555136157E-2</v>
      </c>
    </row>
    <row r="77" spans="1:6" x14ac:dyDescent="0.35">
      <c r="A77" s="2">
        <v>44364</v>
      </c>
      <c r="B77">
        <v>-2.779547609826741E-3</v>
      </c>
      <c r="C77">
        <f t="shared" si="6"/>
        <v>10555.337017115728</v>
      </c>
      <c r="D77">
        <f t="shared" si="7"/>
        <v>10695.292181697358</v>
      </c>
      <c r="E77">
        <f t="shared" si="4"/>
        <v>-1.3085679400244188E-2</v>
      </c>
      <c r="F77" s="1">
        <f t="shared" si="5"/>
        <v>5.5533701711572681E-2</v>
      </c>
    </row>
    <row r="78" spans="1:6" x14ac:dyDescent="0.35">
      <c r="A78" s="2">
        <v>44365</v>
      </c>
      <c r="B78">
        <v>-4.5576305355280334E-3</v>
      </c>
      <c r="C78">
        <f t="shared" si="6"/>
        <v>10507.229690813732</v>
      </c>
      <c r="D78">
        <f t="shared" si="7"/>
        <v>10695.292181697358</v>
      </c>
      <c r="E78">
        <f t="shared" si="4"/>
        <v>-1.7583670243759508E-2</v>
      </c>
      <c r="F78" s="1">
        <f t="shared" si="5"/>
        <v>5.0722969081373304E-2</v>
      </c>
    </row>
    <row r="79" spans="1:6" x14ac:dyDescent="0.35">
      <c r="A79" s="2">
        <v>44368</v>
      </c>
      <c r="B79">
        <v>6.7246641312278584E-3</v>
      </c>
      <c r="C79">
        <f t="shared" si="6"/>
        <v>10577.887281434121</v>
      </c>
      <c r="D79">
        <f t="shared" si="7"/>
        <v>10695.292181697358</v>
      </c>
      <c r="E79">
        <f t="shared" si="4"/>
        <v>-1.0977250389115012E-2</v>
      </c>
      <c r="F79" s="1">
        <f t="shared" si="5"/>
        <v>5.7788728143412182E-2</v>
      </c>
    </row>
    <row r="80" spans="1:6" x14ac:dyDescent="0.35">
      <c r="A80" s="2">
        <v>44369</v>
      </c>
      <c r="B80">
        <v>1.1285663854273E-3</v>
      </c>
      <c r="C80">
        <f t="shared" si="6"/>
        <v>10589.825129448785</v>
      </c>
      <c r="D80">
        <f t="shared" si="7"/>
        <v>10695.292181697358</v>
      </c>
      <c r="E80">
        <f t="shared" si="4"/>
        <v>-9.8610725594814319E-3</v>
      </c>
      <c r="F80" s="1">
        <f t="shared" si="5"/>
        <v>5.898251294487844E-2</v>
      </c>
    </row>
    <row r="81" spans="1:6" x14ac:dyDescent="0.35">
      <c r="A81" s="2">
        <v>44370</v>
      </c>
      <c r="B81">
        <v>-8.0115391479499982E-5</v>
      </c>
      <c r="C81">
        <f t="shared" si="6"/>
        <v>10588.976721462841</v>
      </c>
      <c r="D81">
        <f t="shared" si="7"/>
        <v>10695.292181697358</v>
      </c>
      <c r="E81">
        <f t="shared" si="4"/>
        <v>-9.9403979272723042E-3</v>
      </c>
      <c r="F81" s="1">
        <f t="shared" si="5"/>
        <v>5.8897672146284163E-2</v>
      </c>
    </row>
    <row r="82" spans="1:6" x14ac:dyDescent="0.35">
      <c r="A82" s="2">
        <v>44371</v>
      </c>
      <c r="B82">
        <v>4.3659800899347248E-3</v>
      </c>
      <c r="C82">
        <f t="shared" si="6"/>
        <v>10635.20798300153</v>
      </c>
      <c r="D82">
        <f t="shared" si="7"/>
        <v>10695.292181697358</v>
      </c>
      <c r="E82">
        <f t="shared" si="4"/>
        <v>-5.6178174167741401E-3</v>
      </c>
      <c r="F82" s="1">
        <f t="shared" si="5"/>
        <v>6.3520798300152892E-2</v>
      </c>
    </row>
    <row r="83" spans="1:6" x14ac:dyDescent="0.35">
      <c r="A83" s="2">
        <v>44372</v>
      </c>
      <c r="B83">
        <v>5.2513990189350821E-4</v>
      </c>
      <c r="C83">
        <f t="shared" si="6"/>
        <v>10640.792955078341</v>
      </c>
      <c r="D83">
        <f t="shared" si="7"/>
        <v>10695.292181697358</v>
      </c>
      <c r="E83">
        <f t="shared" si="4"/>
        <v>-5.0956276549676272E-3</v>
      </c>
      <c r="F83" s="1">
        <f t="shared" si="5"/>
        <v>6.40792955078342E-2</v>
      </c>
    </row>
    <row r="84" spans="1:6" x14ac:dyDescent="0.35">
      <c r="A84" s="2">
        <v>44375</v>
      </c>
      <c r="B84">
        <v>1.23751594876762E-3</v>
      </c>
      <c r="C84">
        <f t="shared" si="6"/>
        <v>10653.961106067785</v>
      </c>
      <c r="D84">
        <f t="shared" si="7"/>
        <v>10695.292181697358</v>
      </c>
      <c r="E84">
        <f t="shared" si="4"/>
        <v>-3.864417626691985E-3</v>
      </c>
      <c r="F84" s="1">
        <f t="shared" si="5"/>
        <v>6.5396110606778635E-2</v>
      </c>
    </row>
    <row r="85" spans="1:6" x14ac:dyDescent="0.35">
      <c r="A85" s="2">
        <v>44376</v>
      </c>
      <c r="B85">
        <v>-4.1166246672844152E-4</v>
      </c>
      <c r="C85">
        <f t="shared" si="6"/>
        <v>10649.575270158433</v>
      </c>
      <c r="D85">
        <f t="shared" si="7"/>
        <v>10695.292181697358</v>
      </c>
      <c r="E85">
        <f t="shared" si="4"/>
        <v>-4.274489257727665E-3</v>
      </c>
      <c r="F85" s="1">
        <f t="shared" si="5"/>
        <v>6.4957527015843342E-2</v>
      </c>
    </row>
    <row r="86" spans="1:6" x14ac:dyDescent="0.35">
      <c r="A86" s="2">
        <v>44377</v>
      </c>
      <c r="B86">
        <v>1.247327475157417E-4</v>
      </c>
      <c r="C86">
        <f t="shared" si="6"/>
        <v>10650.903620941757</v>
      </c>
      <c r="D86">
        <f t="shared" si="7"/>
        <v>10695.292181697358</v>
      </c>
      <c r="E86">
        <f t="shared" si="4"/>
        <v>-4.1502896790011068E-3</v>
      </c>
      <c r="F86" s="1">
        <f t="shared" si="5"/>
        <v>6.5090362094175624E-2</v>
      </c>
    </row>
    <row r="87" spans="1:6" x14ac:dyDescent="0.35">
      <c r="A87" s="2">
        <v>44378</v>
      </c>
      <c r="B87">
        <v>1.945889915987343E-3</v>
      </c>
      <c r="C87">
        <f t="shared" si="6"/>
        <v>10671.629106893903</v>
      </c>
      <c r="D87">
        <f t="shared" si="7"/>
        <v>10695.292181697358</v>
      </c>
      <c r="E87">
        <f t="shared" si="4"/>
        <v>-2.2124757698483988E-3</v>
      </c>
      <c r="F87" s="1">
        <f t="shared" si="5"/>
        <v>6.7162910689390287E-2</v>
      </c>
    </row>
    <row r="88" spans="1:6" x14ac:dyDescent="0.35">
      <c r="A88" s="2">
        <v>44379</v>
      </c>
      <c r="B88">
        <v>3.7456223919653908E-3</v>
      </c>
      <c r="C88">
        <f t="shared" si="6"/>
        <v>10711.600999835435</v>
      </c>
      <c r="D88">
        <f t="shared" si="7"/>
        <v>10711.600999835435</v>
      </c>
      <c r="E88">
        <f t="shared" si="4"/>
        <v>0</v>
      </c>
      <c r="F88" s="1">
        <f t="shared" si="5"/>
        <v>7.1160099983543557E-2</v>
      </c>
    </row>
    <row r="89" spans="1:6" x14ac:dyDescent="0.35">
      <c r="A89" s="2">
        <v>44383</v>
      </c>
      <c r="B89">
        <v>-2.5784972122279582E-3</v>
      </c>
      <c r="C89">
        <f t="shared" si="6"/>
        <v>10683.981166518861</v>
      </c>
      <c r="D89">
        <f t="shared" si="7"/>
        <v>10711.600999835435</v>
      </c>
      <c r="E89">
        <f t="shared" si="4"/>
        <v>-2.5784972122279148E-3</v>
      </c>
      <c r="F89" s="1">
        <f t="shared" si="5"/>
        <v>6.8398116651886109E-2</v>
      </c>
    </row>
    <row r="90" spans="1:6" x14ac:dyDescent="0.35">
      <c r="A90" s="2">
        <v>44384</v>
      </c>
      <c r="B90">
        <v>9.4899047295430813E-4</v>
      </c>
      <c r="C90">
        <f t="shared" si="6"/>
        <v>10694.12016285911</v>
      </c>
      <c r="D90">
        <f t="shared" si="7"/>
        <v>10711.600999835435</v>
      </c>
      <c r="E90">
        <f t="shared" si="4"/>
        <v>-1.6319537085626168E-3</v>
      </c>
      <c r="F90" s="1">
        <f t="shared" si="5"/>
        <v>6.9412016285910871E-2</v>
      </c>
    </row>
    <row r="91" spans="1:6" x14ac:dyDescent="0.35">
      <c r="A91" s="2">
        <v>44385</v>
      </c>
      <c r="B91">
        <v>-3.9300748971513666E-3</v>
      </c>
      <c r="C91">
        <f t="shared" si="6"/>
        <v>10652.091469659938</v>
      </c>
      <c r="D91">
        <f t="shared" si="7"/>
        <v>10711.600999835435</v>
      </c>
      <c r="E91">
        <f t="shared" si="4"/>
        <v>-5.5556149054106774E-3</v>
      </c>
      <c r="F91" s="1">
        <f t="shared" si="5"/>
        <v>6.520914696599367E-2</v>
      </c>
    </row>
    <row r="92" spans="1:6" x14ac:dyDescent="0.35">
      <c r="A92" s="2">
        <v>44386</v>
      </c>
      <c r="B92">
        <v>6.8429890404602912E-3</v>
      </c>
      <c r="C92">
        <f t="shared" si="6"/>
        <v>10724.983614844799</v>
      </c>
      <c r="D92">
        <f t="shared" si="7"/>
        <v>10724.983614844799</v>
      </c>
      <c r="E92">
        <f t="shared" si="4"/>
        <v>0</v>
      </c>
      <c r="F92" s="1">
        <f t="shared" si="5"/>
        <v>7.2498361484479856E-2</v>
      </c>
    </row>
    <row r="93" spans="1:6" x14ac:dyDescent="0.35">
      <c r="A93" s="2">
        <v>44389</v>
      </c>
      <c r="B93">
        <v>1.6462682126024749E-3</v>
      </c>
      <c r="C93">
        <f t="shared" si="6"/>
        <v>10742.6398144506</v>
      </c>
      <c r="D93">
        <f t="shared" si="7"/>
        <v>10742.6398144506</v>
      </c>
      <c r="E93">
        <f t="shared" si="4"/>
        <v>0</v>
      </c>
      <c r="F93" s="1">
        <f t="shared" si="5"/>
        <v>7.4263981445060079E-2</v>
      </c>
    </row>
    <row r="94" spans="1:6" x14ac:dyDescent="0.35">
      <c r="A94" s="2">
        <v>44390</v>
      </c>
      <c r="B94">
        <v>-4.0251832920323669E-3</v>
      </c>
      <c r="C94">
        <f t="shared" si="6"/>
        <v>10699.398720157151</v>
      </c>
      <c r="D94">
        <f t="shared" si="7"/>
        <v>10742.6398144506</v>
      </c>
      <c r="E94">
        <f t="shared" si="4"/>
        <v>-4.025183292032497E-3</v>
      </c>
      <c r="F94" s="1">
        <f t="shared" si="5"/>
        <v>6.9939872015715165E-2</v>
      </c>
    </row>
    <row r="95" spans="1:6" x14ac:dyDescent="0.35">
      <c r="A95" s="2">
        <v>44391</v>
      </c>
      <c r="B95">
        <v>2.0165649384277081E-3</v>
      </c>
      <c r="C95">
        <f t="shared" si="6"/>
        <v>10720.974752478476</v>
      </c>
      <c r="D95">
        <f t="shared" si="7"/>
        <v>10742.6398144506</v>
      </c>
      <c r="E95">
        <f t="shared" si="4"/>
        <v>-2.0167353971023427E-3</v>
      </c>
      <c r="F95" s="1">
        <f t="shared" si="5"/>
        <v>7.2097475247847598E-2</v>
      </c>
    </row>
    <row r="96" spans="1:6" x14ac:dyDescent="0.35">
      <c r="A96" s="2">
        <v>44392</v>
      </c>
      <c r="B96">
        <v>-8.3072706171343315E-4</v>
      </c>
      <c r="C96">
        <f t="shared" si="6"/>
        <v>10712.068548623647</v>
      </c>
      <c r="D96">
        <f t="shared" si="7"/>
        <v>10742.6398144506</v>
      </c>
      <c r="E96">
        <f t="shared" si="4"/>
        <v>-2.8457871021450032E-3</v>
      </c>
      <c r="F96" s="1">
        <f t="shared" si="5"/>
        <v>7.1206854862364777E-2</v>
      </c>
    </row>
    <row r="97" spans="1:6" x14ac:dyDescent="0.35">
      <c r="A97" s="2">
        <v>44393</v>
      </c>
      <c r="B97">
        <v>-4.8818385202093161E-3</v>
      </c>
      <c r="C97">
        <f t="shared" si="6"/>
        <v>10659.773959751854</v>
      </c>
      <c r="D97">
        <f t="shared" si="7"/>
        <v>10742.6398144506</v>
      </c>
      <c r="E97">
        <f t="shared" si="4"/>
        <v>-7.7137329492587003E-3</v>
      </c>
      <c r="F97" s="1">
        <f t="shared" si="5"/>
        <v>6.5977395975185482E-2</v>
      </c>
    </row>
    <row r="98" spans="1:6" x14ac:dyDescent="0.35">
      <c r="A98" s="2">
        <v>44396</v>
      </c>
      <c r="B98">
        <v>-8.2450151100699406E-3</v>
      </c>
      <c r="C98">
        <f t="shared" si="6"/>
        <v>10571.88396238377</v>
      </c>
      <c r="D98">
        <f t="shared" si="7"/>
        <v>10742.6398144506</v>
      </c>
      <c r="E98">
        <f t="shared" si="4"/>
        <v>-1.5895148214606913E-2</v>
      </c>
      <c r="F98" s="1">
        <f t="shared" si="5"/>
        <v>5.7188396238377015E-2</v>
      </c>
    </row>
    <row r="99" spans="1:6" x14ac:dyDescent="0.35">
      <c r="A99" s="2">
        <v>44397</v>
      </c>
      <c r="B99">
        <v>8.1098501025580992E-3</v>
      </c>
      <c r="C99">
        <f t="shared" si="6"/>
        <v>10657.62035662034</v>
      </c>
      <c r="D99">
        <f t="shared" si="7"/>
        <v>10742.6398144506</v>
      </c>
      <c r="E99">
        <f t="shared" si="4"/>
        <v>-7.9142053814272861E-3</v>
      </c>
      <c r="F99" s="1">
        <f t="shared" si="5"/>
        <v>6.5762035662034091E-2</v>
      </c>
    </row>
    <row r="100" spans="1:6" x14ac:dyDescent="0.35">
      <c r="A100" s="2">
        <v>44398</v>
      </c>
      <c r="B100">
        <v>4.2737736621136146E-3</v>
      </c>
      <c r="C100">
        <f t="shared" si="6"/>
        <v>10703.16861380127</v>
      </c>
      <c r="D100">
        <f t="shared" si="7"/>
        <v>10742.6398144506</v>
      </c>
      <c r="E100">
        <f t="shared" si="4"/>
        <v>-3.674255241829405E-3</v>
      </c>
      <c r="F100" s="1">
        <f t="shared" si="5"/>
        <v>7.0316861380127049E-2</v>
      </c>
    </row>
    <row r="101" spans="1:6" x14ac:dyDescent="0.35">
      <c r="A101" s="2">
        <v>44399</v>
      </c>
      <c r="B101">
        <v>1.1242384041289749E-3</v>
      </c>
      <c r="C101">
        <f t="shared" si="6"/>
        <v>10715.201527002773</v>
      </c>
      <c r="D101">
        <f t="shared" si="7"/>
        <v>10742.6398144506</v>
      </c>
      <c r="E101">
        <f t="shared" si="4"/>
        <v>-2.5541475765498145E-3</v>
      </c>
      <c r="F101" s="1">
        <f t="shared" si="5"/>
        <v>7.152015270027734E-2</v>
      </c>
    </row>
    <row r="102" spans="1:6" x14ac:dyDescent="0.35">
      <c r="A102" s="2">
        <v>44400</v>
      </c>
      <c r="B102">
        <v>1.8731714922737E-3</v>
      </c>
      <c r="C102">
        <f t="shared" si="6"/>
        <v>10735.272937037123</v>
      </c>
      <c r="D102">
        <f t="shared" si="7"/>
        <v>10742.6398144506</v>
      </c>
      <c r="E102">
        <f t="shared" si="4"/>
        <v>-6.8576044070345343E-4</v>
      </c>
      <c r="F102" s="1">
        <f t="shared" si="5"/>
        <v>7.352729370371236E-2</v>
      </c>
    </row>
    <row r="103" spans="1:6" x14ac:dyDescent="0.35">
      <c r="A103" s="2">
        <v>44403</v>
      </c>
      <c r="B103">
        <v>-1.118432646070333E-3</v>
      </c>
      <c r="C103">
        <f t="shared" si="6"/>
        <v>10723.266257319865</v>
      </c>
      <c r="D103">
        <f t="shared" si="7"/>
        <v>10742.6398144506</v>
      </c>
      <c r="E103">
        <f t="shared" si="4"/>
        <v>-1.8034261099096893E-3</v>
      </c>
      <c r="F103" s="1">
        <f t="shared" si="5"/>
        <v>7.232662573198656E-2</v>
      </c>
    </row>
    <row r="104" spans="1:6" x14ac:dyDescent="0.35">
      <c r="A104" s="2">
        <v>44404</v>
      </c>
      <c r="B104">
        <v>-2.665774360108333E-3</v>
      </c>
      <c r="C104">
        <f t="shared" si="6"/>
        <v>10694.680449074487</v>
      </c>
      <c r="D104">
        <f t="shared" si="7"/>
        <v>10742.6398144506</v>
      </c>
      <c r="E104">
        <f t="shared" si="4"/>
        <v>-4.4643929429337703E-3</v>
      </c>
      <c r="F104" s="1">
        <f t="shared" si="5"/>
        <v>6.9468044907448734E-2</v>
      </c>
    </row>
    <row r="105" spans="1:6" x14ac:dyDescent="0.35">
      <c r="A105" s="2">
        <v>44405</v>
      </c>
      <c r="B105">
        <v>4.9439725693482756E-3</v>
      </c>
      <c r="C105">
        <f t="shared" si="6"/>
        <v>10747.554655852657</v>
      </c>
      <c r="D105">
        <f t="shared" si="7"/>
        <v>10747.554655852657</v>
      </c>
      <c r="E105">
        <f t="shared" si="4"/>
        <v>0</v>
      </c>
      <c r="F105" s="1">
        <f t="shared" si="5"/>
        <v>7.4755465585265579E-2</v>
      </c>
    </row>
    <row r="106" spans="1:6" x14ac:dyDescent="0.35">
      <c r="A106" s="2">
        <v>44406</v>
      </c>
      <c r="B106">
        <v>3.767341946865092E-3</v>
      </c>
      <c r="C106">
        <f t="shared" si="6"/>
        <v>10788.044369333877</v>
      </c>
      <c r="D106">
        <f t="shared" si="7"/>
        <v>10788.044369333877</v>
      </c>
      <c r="E106">
        <f t="shared" si="4"/>
        <v>0</v>
      </c>
      <c r="F106" s="1">
        <f t="shared" si="5"/>
        <v>7.8804436933387567E-2</v>
      </c>
    </row>
    <row r="107" spans="1:6" x14ac:dyDescent="0.35">
      <c r="A107" s="2">
        <v>44407</v>
      </c>
      <c r="B107">
        <v>-3.051666907443816E-3</v>
      </c>
      <c r="C107">
        <f t="shared" si="6"/>
        <v>10755.122851335944</v>
      </c>
      <c r="D107">
        <f t="shared" si="7"/>
        <v>10788.044369333877</v>
      </c>
      <c r="E107">
        <f t="shared" si="4"/>
        <v>-3.0516669074439617E-3</v>
      </c>
      <c r="F107" s="1">
        <f t="shared" si="5"/>
        <v>7.5512285133594315E-2</v>
      </c>
    </row>
    <row r="108" spans="1:6" x14ac:dyDescent="0.35">
      <c r="A108" s="2">
        <v>44410</v>
      </c>
      <c r="B108">
        <v>3.9692469409347339E-4</v>
      </c>
      <c r="C108">
        <f t="shared" si="6"/>
        <v>10759.391825183649</v>
      </c>
      <c r="D108">
        <f t="shared" si="7"/>
        <v>10788.044369333877</v>
      </c>
      <c r="E108">
        <f t="shared" si="4"/>
        <v>-2.6559534953040087E-3</v>
      </c>
      <c r="F108" s="1">
        <f t="shared" si="5"/>
        <v>7.5939182518364845E-2</v>
      </c>
    </row>
    <row r="109" spans="1:6" x14ac:dyDescent="0.35">
      <c r="A109" s="2">
        <v>44411</v>
      </c>
      <c r="B109">
        <v>2.376008712924333E-3</v>
      </c>
      <c r="C109">
        <f t="shared" si="6"/>
        <v>10784.956233906052</v>
      </c>
      <c r="D109">
        <f t="shared" si="7"/>
        <v>10788.044369333877</v>
      </c>
      <c r="E109">
        <f t="shared" si="4"/>
        <v>-2.8625535102566602E-4</v>
      </c>
      <c r="F109" s="1">
        <f t="shared" si="5"/>
        <v>7.8495623390605118E-2</v>
      </c>
    </row>
    <row r="110" spans="1:6" x14ac:dyDescent="0.35">
      <c r="A110" s="2">
        <v>44412</v>
      </c>
      <c r="B110">
        <v>-2.713243575673516E-3</v>
      </c>
      <c r="C110">
        <f t="shared" si="6"/>
        <v>10755.694020690487</v>
      </c>
      <c r="D110">
        <f t="shared" si="7"/>
        <v>10788.044369333877</v>
      </c>
      <c r="E110">
        <f t="shared" si="4"/>
        <v>-2.9987222462070084E-3</v>
      </c>
      <c r="F110" s="1">
        <f t="shared" si="5"/>
        <v>7.5569402069048719E-2</v>
      </c>
    </row>
    <row r="111" spans="1:6" x14ac:dyDescent="0.35">
      <c r="A111" s="2">
        <v>44413</v>
      </c>
      <c r="B111">
        <v>3.8346524742516159E-3</v>
      </c>
      <c r="C111">
        <f t="shared" si="6"/>
        <v>10796.938369379222</v>
      </c>
      <c r="D111">
        <f t="shared" si="7"/>
        <v>10796.938369379222</v>
      </c>
      <c r="E111">
        <f t="shared" si="4"/>
        <v>0</v>
      </c>
      <c r="F111" s="1">
        <f t="shared" si="5"/>
        <v>7.9693836937922313E-2</v>
      </c>
    </row>
    <row r="112" spans="1:6" x14ac:dyDescent="0.35">
      <c r="A112" s="2">
        <v>44414</v>
      </c>
      <c r="B112">
        <v>-6.3098783605744571E-3</v>
      </c>
      <c r="C112">
        <f t="shared" si="6"/>
        <v>10728.81100160182</v>
      </c>
      <c r="D112">
        <f t="shared" si="7"/>
        <v>10796.938369379222</v>
      </c>
      <c r="E112">
        <f t="shared" si="4"/>
        <v>-6.3098783605745057E-3</v>
      </c>
      <c r="F112" s="1">
        <f t="shared" si="5"/>
        <v>7.28811001601819E-2</v>
      </c>
    </row>
    <row r="113" spans="1:6" x14ac:dyDescent="0.35">
      <c r="A113" s="2">
        <v>44417</v>
      </c>
      <c r="B113">
        <v>-4.2739594760865416E-3</v>
      </c>
      <c r="C113">
        <f t="shared" si="6"/>
        <v>10682.956498154383</v>
      </c>
      <c r="D113">
        <f t="shared" si="7"/>
        <v>10796.938369379222</v>
      </c>
      <c r="E113">
        <f t="shared" si="4"/>
        <v>-1.0556869672248892E-2</v>
      </c>
      <c r="F113" s="1">
        <f t="shared" si="5"/>
        <v>6.8295649815438342E-2</v>
      </c>
    </row>
    <row r="114" spans="1:6" x14ac:dyDescent="0.35">
      <c r="A114" s="2">
        <v>44418</v>
      </c>
      <c r="B114">
        <v>-3.2848729390399893E-5</v>
      </c>
      <c r="C114">
        <f t="shared" si="6"/>
        <v>10682.605576607286</v>
      </c>
      <c r="D114">
        <f t="shared" si="7"/>
        <v>10796.938369379222</v>
      </c>
      <c r="E114">
        <f t="shared" si="4"/>
        <v>-1.0589371621884114E-2</v>
      </c>
      <c r="F114" s="1">
        <f t="shared" si="5"/>
        <v>6.8260557660728693E-2</v>
      </c>
    </row>
    <row r="115" spans="1:6" x14ac:dyDescent="0.35">
      <c r="A115" s="2">
        <v>44419</v>
      </c>
      <c r="B115">
        <v>3.9538113713152752E-3</v>
      </c>
      <c r="C115">
        <f t="shared" si="6"/>
        <v>10724.842584011352</v>
      </c>
      <c r="D115">
        <f t="shared" si="7"/>
        <v>10796.938369379222</v>
      </c>
      <c r="E115">
        <f t="shared" si="4"/>
        <v>-6.6774286285025131E-3</v>
      </c>
      <c r="F115" s="1">
        <f t="shared" si="5"/>
        <v>7.2484258401135149E-2</v>
      </c>
    </row>
    <row r="116" spans="1:6" x14ac:dyDescent="0.35">
      <c r="A116" s="2">
        <v>44420</v>
      </c>
      <c r="B116">
        <v>-5.1437123391990017E-4</v>
      </c>
      <c r="C116">
        <f t="shared" si="6"/>
        <v>10719.326033497817</v>
      </c>
      <c r="D116">
        <f t="shared" si="7"/>
        <v>10796.938369379222</v>
      </c>
      <c r="E116">
        <f t="shared" si="4"/>
        <v>-7.1883651852194808E-3</v>
      </c>
      <c r="F116" s="1">
        <f t="shared" si="5"/>
        <v>7.1932603349781576E-2</v>
      </c>
    </row>
    <row r="117" spans="1:6" x14ac:dyDescent="0.35">
      <c r="A117" s="2">
        <v>44421</v>
      </c>
      <c r="B117">
        <v>3.688472286925842E-3</v>
      </c>
      <c r="C117">
        <f t="shared" si="6"/>
        <v>10758.863970506896</v>
      </c>
      <c r="D117">
        <f t="shared" si="7"/>
        <v>10796.938369379222</v>
      </c>
      <c r="E117">
        <f t="shared" si="4"/>
        <v>-3.5264069840675871E-3</v>
      </c>
      <c r="F117" s="1">
        <f t="shared" si="5"/>
        <v>7.5886397050689558E-2</v>
      </c>
    </row>
    <row r="118" spans="1:6" x14ac:dyDescent="0.35">
      <c r="A118" s="2">
        <v>44424</v>
      </c>
      <c r="B118">
        <v>-1.1705273790622501E-3</v>
      </c>
      <c r="C118">
        <f t="shared" si="6"/>
        <v>10746.270425661813</v>
      </c>
      <c r="D118">
        <f t="shared" si="7"/>
        <v>10796.938369379222</v>
      </c>
      <c r="E118">
        <f t="shared" si="4"/>
        <v>-4.6928066072051688E-3</v>
      </c>
      <c r="F118" s="1">
        <f t="shared" si="5"/>
        <v>7.4627042566181245E-2</v>
      </c>
    </row>
    <row r="119" spans="1:6" x14ac:dyDescent="0.35">
      <c r="A119" s="2">
        <v>44425</v>
      </c>
      <c r="B119">
        <v>-6.1511554831753003E-3</v>
      </c>
      <c r="C119">
        <f t="shared" si="6"/>
        <v>10680.168445409317</v>
      </c>
      <c r="D119">
        <f t="shared" si="7"/>
        <v>10796.938369379222</v>
      </c>
      <c r="E119">
        <f t="shared" si="4"/>
        <v>-1.0815095907287131E-2</v>
      </c>
      <c r="F119" s="1">
        <f t="shared" si="5"/>
        <v>6.8016844540931709E-2</v>
      </c>
    </row>
    <row r="120" spans="1:6" x14ac:dyDescent="0.35">
      <c r="A120" s="2">
        <v>44426</v>
      </c>
      <c r="B120">
        <v>-4.3092177288902248E-3</v>
      </c>
      <c r="C120">
        <f t="shared" si="6"/>
        <v>10634.145274196826</v>
      </c>
      <c r="D120">
        <f t="shared" si="7"/>
        <v>10796.938369379222</v>
      </c>
      <c r="E120">
        <f t="shared" si="4"/>
        <v>-1.5077709033153974E-2</v>
      </c>
      <c r="F120" s="1">
        <f t="shared" si="5"/>
        <v>6.3414527419682676E-2</v>
      </c>
    </row>
    <row r="121" spans="1:6" x14ac:dyDescent="0.35">
      <c r="A121" s="2">
        <v>44427</v>
      </c>
      <c r="B121">
        <v>-2.7391881058875418E-3</v>
      </c>
      <c r="C121">
        <f t="shared" si="6"/>
        <v>10605.016349945465</v>
      </c>
      <c r="D121">
        <f t="shared" si="7"/>
        <v>10796.938369379222</v>
      </c>
      <c r="E121">
        <f t="shared" si="4"/>
        <v>-1.777559645779403E-2</v>
      </c>
      <c r="F121" s="1">
        <f t="shared" si="5"/>
        <v>6.0501634994546416E-2</v>
      </c>
    </row>
    <row r="122" spans="1:6" x14ac:dyDescent="0.35">
      <c r="A122" s="2">
        <v>44428</v>
      </c>
      <c r="B122">
        <v>1.9335284102920251E-3</v>
      </c>
      <c r="C122">
        <f t="shared" si="6"/>
        <v>10625.521450349695</v>
      </c>
      <c r="D122">
        <f t="shared" si="7"/>
        <v>10796.938369379222</v>
      </c>
      <c r="E122">
        <f t="shared" si="4"/>
        <v>-1.5876437668263077E-2</v>
      </c>
      <c r="F122" s="1">
        <f t="shared" si="5"/>
        <v>6.2552145034969531E-2</v>
      </c>
    </row>
    <row r="123" spans="1:6" x14ac:dyDescent="0.35">
      <c r="A123" s="2">
        <v>44431</v>
      </c>
      <c r="B123">
        <v>9.7733421812344397E-3</v>
      </c>
      <c r="C123">
        <f t="shared" si="6"/>
        <v>10729.368307338011</v>
      </c>
      <c r="D123">
        <f t="shared" si="7"/>
        <v>10796.938369379222</v>
      </c>
      <c r="E123">
        <f t="shared" si="4"/>
        <v>-6.2582613449794211E-3</v>
      </c>
      <c r="F123" s="1">
        <f t="shared" si="5"/>
        <v>7.2936830733800972E-2</v>
      </c>
    </row>
    <row r="124" spans="1:6" x14ac:dyDescent="0.35">
      <c r="A124" s="2">
        <v>44432</v>
      </c>
      <c r="B124">
        <v>3.666393514641291E-3</v>
      </c>
      <c r="C124">
        <f t="shared" si="6"/>
        <v>10768.706393716233</v>
      </c>
      <c r="D124">
        <f t="shared" si="7"/>
        <v>10796.938369379222</v>
      </c>
      <c r="E124">
        <f t="shared" si="4"/>
        <v>-2.6148130791463498E-3</v>
      </c>
      <c r="F124" s="1">
        <f t="shared" si="5"/>
        <v>7.6870639371623195E-2</v>
      </c>
    </row>
    <row r="125" spans="1:6" x14ac:dyDescent="0.35">
      <c r="A125" s="2">
        <v>44433</v>
      </c>
      <c r="B125">
        <v>-3.4284177633558331E-4</v>
      </c>
      <c r="C125">
        <f t="shared" si="6"/>
        <v>10765.014431287374</v>
      </c>
      <c r="D125">
        <f t="shared" si="7"/>
        <v>10796.938369379222</v>
      </c>
      <c r="E125">
        <f t="shared" si="4"/>
        <v>-2.9567583883211013E-3</v>
      </c>
      <c r="F125" s="1">
        <f t="shared" si="5"/>
        <v>7.6501443128737412E-2</v>
      </c>
    </row>
    <row r="126" spans="1:6" x14ac:dyDescent="0.35">
      <c r="A126" s="2">
        <v>44434</v>
      </c>
      <c r="B126">
        <v>-3.503278862432675E-3</v>
      </c>
      <c r="C126">
        <f t="shared" si="6"/>
        <v>10727.301583776463</v>
      </c>
      <c r="D126">
        <f t="shared" si="7"/>
        <v>10796.938369379222</v>
      </c>
      <c r="E126">
        <f t="shared" si="4"/>
        <v>-6.4496789015905387E-3</v>
      </c>
      <c r="F126" s="1">
        <f t="shared" si="5"/>
        <v>7.2730158377646292E-2</v>
      </c>
    </row>
    <row r="127" spans="1:6" x14ac:dyDescent="0.35">
      <c r="A127" s="2">
        <v>44435</v>
      </c>
      <c r="B127">
        <v>1.0407382257065259E-2</v>
      </c>
      <c r="C127">
        <f t="shared" si="6"/>
        <v>10838.944711945645</v>
      </c>
      <c r="D127">
        <f t="shared" si="7"/>
        <v>10838.944711945645</v>
      </c>
      <c r="E127">
        <f t="shared" si="4"/>
        <v>0</v>
      </c>
      <c r="F127" s="1">
        <f t="shared" si="5"/>
        <v>8.3894471194564613E-2</v>
      </c>
    </row>
    <row r="128" spans="1:6" x14ac:dyDescent="0.35">
      <c r="A128" s="2">
        <v>44438</v>
      </c>
      <c r="B128">
        <v>2.4690310804411329E-3</v>
      </c>
      <c r="C128">
        <f t="shared" si="6"/>
        <v>10865.706403318623</v>
      </c>
      <c r="D128">
        <f t="shared" si="7"/>
        <v>10865.706403318623</v>
      </c>
      <c r="E128">
        <f t="shared" si="4"/>
        <v>0</v>
      </c>
      <c r="F128" s="1">
        <f t="shared" si="5"/>
        <v>8.6570640331862236E-2</v>
      </c>
    </row>
    <row r="129" spans="1:6" x14ac:dyDescent="0.35">
      <c r="A129" s="2">
        <v>44439</v>
      </c>
      <c r="B129">
        <v>3.5076601945372479E-4</v>
      </c>
      <c r="C129">
        <f t="shared" si="6"/>
        <v>10869.517723902269</v>
      </c>
      <c r="D129">
        <f t="shared" si="7"/>
        <v>10869.517723902269</v>
      </c>
      <c r="E129">
        <f t="shared" si="4"/>
        <v>0</v>
      </c>
      <c r="F129" s="1">
        <f t="shared" si="5"/>
        <v>8.6951772390226889E-2</v>
      </c>
    </row>
    <row r="130" spans="1:6" x14ac:dyDescent="0.35">
      <c r="A130" s="2">
        <v>44440</v>
      </c>
      <c r="B130">
        <v>3.8658393874626659E-3</v>
      </c>
      <c r="C130">
        <f t="shared" si="6"/>
        <v>10911.537533642053</v>
      </c>
      <c r="D130">
        <f t="shared" si="7"/>
        <v>10911.537533642053</v>
      </c>
      <c r="E130">
        <f t="shared" si="4"/>
        <v>0</v>
      </c>
      <c r="F130" s="1">
        <f t="shared" si="5"/>
        <v>9.1153753364205281E-2</v>
      </c>
    </row>
    <row r="131" spans="1:6" x14ac:dyDescent="0.35">
      <c r="A131" s="2">
        <v>44441</v>
      </c>
      <c r="B131">
        <v>2.6501373286414581E-3</v>
      </c>
      <c r="C131">
        <f t="shared" si="6"/>
        <v>10940.45460657283</v>
      </c>
      <c r="D131">
        <f t="shared" si="7"/>
        <v>10940.45460657283</v>
      </c>
      <c r="E131">
        <f t="shared" ref="E131:E194" si="8">(C131/D131)-1</f>
        <v>0</v>
      </c>
      <c r="F131" s="1">
        <f t="shared" ref="F131:F194" si="9">C131/$C$2-1</f>
        <v>9.404546065728292E-2</v>
      </c>
    </row>
    <row r="132" spans="1:6" x14ac:dyDescent="0.35">
      <c r="A132" s="2">
        <v>44442</v>
      </c>
      <c r="B132">
        <v>4.1307635631634168E-4</v>
      </c>
      <c r="C132">
        <f t="shared" ref="C132:C195" si="10">C131*(1+B132)</f>
        <v>10944.973849698157</v>
      </c>
      <c r="D132">
        <f t="shared" ref="D132:D195" si="11">MAX(D131,C132)</f>
        <v>10944.973849698157</v>
      </c>
      <c r="E132">
        <f t="shared" si="8"/>
        <v>0</v>
      </c>
      <c r="F132" s="1">
        <f t="shared" si="9"/>
        <v>9.4497384969815634E-2</v>
      </c>
    </row>
    <row r="133" spans="1:6" x14ac:dyDescent="0.35">
      <c r="A133" s="2">
        <v>44446</v>
      </c>
      <c r="B133">
        <v>-5.369688312892874E-3</v>
      </c>
      <c r="C133">
        <f t="shared" si="10"/>
        <v>10886.202751532515</v>
      </c>
      <c r="D133">
        <f t="shared" si="11"/>
        <v>10944.973849698157</v>
      </c>
      <c r="E133">
        <f t="shared" si="8"/>
        <v>-5.3696883128928619E-3</v>
      </c>
      <c r="F133" s="1">
        <f t="shared" si="9"/>
        <v>8.8620275153251438E-2</v>
      </c>
    </row>
    <row r="134" spans="1:6" x14ac:dyDescent="0.35">
      <c r="A134" s="2">
        <v>44447</v>
      </c>
      <c r="B134">
        <v>-1.1994951076170499E-3</v>
      </c>
      <c r="C134">
        <f t="shared" si="10"/>
        <v>10873.144804591524</v>
      </c>
      <c r="D134">
        <f t="shared" si="11"/>
        <v>10944.973849698157</v>
      </c>
      <c r="E134">
        <f t="shared" si="8"/>
        <v>-6.562742505649255E-3</v>
      </c>
      <c r="F134" s="1">
        <f t="shared" si="9"/>
        <v>8.7314480459152355E-2</v>
      </c>
    </row>
    <row r="135" spans="1:6" x14ac:dyDescent="0.35">
      <c r="A135" s="2">
        <v>44448</v>
      </c>
      <c r="B135">
        <v>-1.053077655843417E-3</v>
      </c>
      <c r="C135">
        <f t="shared" si="10"/>
        <v>10861.69453874906</v>
      </c>
      <c r="D135">
        <f t="shared" si="11"/>
        <v>10944.973849698157</v>
      </c>
      <c r="E135">
        <f t="shared" si="8"/>
        <v>-7.6089090839988049E-3</v>
      </c>
      <c r="F135" s="1">
        <f t="shared" si="9"/>
        <v>8.6169453874906043E-2</v>
      </c>
    </row>
    <row r="136" spans="1:6" x14ac:dyDescent="0.35">
      <c r="A136" s="2">
        <v>44449</v>
      </c>
      <c r="B136">
        <v>-4.2957941997448668E-3</v>
      </c>
      <c r="C136">
        <f t="shared" si="10"/>
        <v>10815.0349343501</v>
      </c>
      <c r="D136">
        <f t="shared" si="11"/>
        <v>10944.973849698157</v>
      </c>
      <c r="E136">
        <f t="shared" si="8"/>
        <v>-1.1872016976234301E-2</v>
      </c>
      <c r="F136" s="1">
        <f t="shared" si="9"/>
        <v>8.1503493435010066E-2</v>
      </c>
    </row>
    <row r="137" spans="1:6" x14ac:dyDescent="0.35">
      <c r="A137" s="2">
        <v>44452</v>
      </c>
      <c r="B137">
        <v>4.0149012689947999E-3</v>
      </c>
      <c r="C137">
        <f t="shared" si="10"/>
        <v>10858.456231832244</v>
      </c>
      <c r="D137">
        <f t="shared" si="11"/>
        <v>10944.973849698157</v>
      </c>
      <c r="E137">
        <f t="shared" si="8"/>
        <v>-7.9047806832630574E-3</v>
      </c>
      <c r="F137" s="1">
        <f t="shared" si="9"/>
        <v>8.5845623183224307E-2</v>
      </c>
    </row>
    <row r="138" spans="1:6" x14ac:dyDescent="0.35">
      <c r="A138" s="2">
        <v>44453</v>
      </c>
      <c r="B138">
        <v>-9.0763999131250812E-4</v>
      </c>
      <c r="C138">
        <f t="shared" si="10"/>
        <v>10848.600662712317</v>
      </c>
      <c r="D138">
        <f t="shared" si="11"/>
        <v>10944.973849698157</v>
      </c>
      <c r="E138">
        <f t="shared" si="8"/>
        <v>-8.8052459795048277E-3</v>
      </c>
      <c r="F138" s="1">
        <f t="shared" si="9"/>
        <v>8.4860066271231771E-2</v>
      </c>
    </row>
    <row r="139" spans="1:6" x14ac:dyDescent="0.35">
      <c r="A139" s="2">
        <v>44454</v>
      </c>
      <c r="B139">
        <v>3.033443111813975E-3</v>
      </c>
      <c r="C139">
        <f t="shared" si="10"/>
        <v>10881.509275665443</v>
      </c>
      <c r="D139">
        <f t="shared" si="11"/>
        <v>10944.973849698157</v>
      </c>
      <c r="E139">
        <f t="shared" si="8"/>
        <v>-5.7985130804550922E-3</v>
      </c>
      <c r="F139" s="1">
        <f t="shared" si="9"/>
        <v>8.8150927566544413E-2</v>
      </c>
    </row>
    <row r="140" spans="1:6" x14ac:dyDescent="0.35">
      <c r="A140" s="2">
        <v>44455</v>
      </c>
      <c r="B140">
        <v>-4.2849813471760754E-3</v>
      </c>
      <c r="C140">
        <f t="shared" si="10"/>
        <v>10834.882211390093</v>
      </c>
      <c r="D140">
        <f t="shared" si="11"/>
        <v>10944.973849698157</v>
      </c>
      <c r="E140">
        <f t="shared" si="8"/>
        <v>-1.0058647907240093E-2</v>
      </c>
      <c r="F140" s="1">
        <f t="shared" si="9"/>
        <v>8.3488221139009333E-2</v>
      </c>
    </row>
    <row r="141" spans="1:6" x14ac:dyDescent="0.35">
      <c r="A141" s="2">
        <v>44456</v>
      </c>
      <c r="B141">
        <v>-5.6242173322630581E-3</v>
      </c>
      <c r="C141">
        <f t="shared" si="10"/>
        <v>10773.944479063764</v>
      </c>
      <c r="D141">
        <f t="shared" si="11"/>
        <v>10944.973849698157</v>
      </c>
      <c r="E141">
        <f t="shared" si="8"/>
        <v>-1.5626293217604115E-2</v>
      </c>
      <c r="F141" s="1">
        <f t="shared" si="9"/>
        <v>7.7394447906376396E-2</v>
      </c>
    </row>
    <row r="142" spans="1:6" x14ac:dyDescent="0.35">
      <c r="A142" s="2">
        <v>44459</v>
      </c>
      <c r="B142">
        <v>-8.3490878752344906E-3</v>
      </c>
      <c r="C142">
        <f t="shared" si="10"/>
        <v>10683.991869845164</v>
      </c>
      <c r="D142">
        <f t="shared" si="11"/>
        <v>10944.973849698157</v>
      </c>
      <c r="E142">
        <f t="shared" si="8"/>
        <v>-2.3844915797600619E-2</v>
      </c>
      <c r="F142" s="1">
        <f t="shared" si="9"/>
        <v>6.8399186984516414E-2</v>
      </c>
    </row>
    <row r="143" spans="1:6" x14ac:dyDescent="0.35">
      <c r="A143" s="2">
        <v>44460</v>
      </c>
      <c r="B143">
        <v>2.286300284763774E-3</v>
      </c>
      <c r="C143">
        <f t="shared" si="10"/>
        <v>10708.418683499604</v>
      </c>
      <c r="D143">
        <f t="shared" si="11"/>
        <v>10944.973849698157</v>
      </c>
      <c r="E143">
        <f t="shared" si="8"/>
        <v>-2.1613132150615222E-2</v>
      </c>
      <c r="F143" s="1">
        <f t="shared" si="9"/>
        <v>7.0841868349960313E-2</v>
      </c>
    </row>
    <row r="144" spans="1:6" x14ac:dyDescent="0.35">
      <c r="A144" s="2">
        <v>44461</v>
      </c>
      <c r="B144">
        <v>6.7564399172937084E-3</v>
      </c>
      <c r="C144">
        <f t="shared" si="10"/>
        <v>10780.769470943893</v>
      </c>
      <c r="D144">
        <f t="shared" si="11"/>
        <v>10944.973849698157</v>
      </c>
      <c r="E144">
        <f t="shared" si="8"/>
        <v>-1.5002720062121777E-2</v>
      </c>
      <c r="F144" s="1">
        <f t="shared" si="9"/>
        <v>7.8076947094389393E-2</v>
      </c>
    </row>
    <row r="145" spans="1:6" x14ac:dyDescent="0.35">
      <c r="A145" s="2">
        <v>44462</v>
      </c>
      <c r="B145">
        <v>1.793532957241267E-3</v>
      </c>
      <c r="C145">
        <f t="shared" si="10"/>
        <v>10800.105136294451</v>
      </c>
      <c r="D145">
        <f t="shared" si="11"/>
        <v>10944.973849698157</v>
      </c>
      <c r="E145">
        <f t="shared" si="8"/>
        <v>-1.3236094977760238E-2</v>
      </c>
      <c r="F145" s="1">
        <f t="shared" si="9"/>
        <v>8.0010513629445112E-2</v>
      </c>
    </row>
    <row r="146" spans="1:6" x14ac:dyDescent="0.35">
      <c r="A146" s="2">
        <v>44463</v>
      </c>
      <c r="B146">
        <v>-3.9443985297916749E-3</v>
      </c>
      <c r="C146">
        <f t="shared" si="10"/>
        <v>10757.505217473255</v>
      </c>
      <c r="D146">
        <f t="shared" si="11"/>
        <v>10944.973849698157</v>
      </c>
      <c r="E146">
        <f t="shared" si="8"/>
        <v>-1.7128285073981453E-2</v>
      </c>
      <c r="F146" s="1">
        <f t="shared" si="9"/>
        <v>7.575052174732555E-2</v>
      </c>
    </row>
    <row r="147" spans="1:6" x14ac:dyDescent="0.35">
      <c r="A147" s="2">
        <v>44466</v>
      </c>
      <c r="B147">
        <v>3.8616076113338329E-4</v>
      </c>
      <c r="C147">
        <f t="shared" si="10"/>
        <v>10761.65934387593</v>
      </c>
      <c r="D147">
        <f t="shared" si="11"/>
        <v>10944.973849698157</v>
      </c>
      <c r="E147">
        <f t="shared" si="8"/>
        <v>-1.6748738584449252E-2</v>
      </c>
      <c r="F147" s="1">
        <f t="shared" si="9"/>
        <v>7.6165934387593115E-2</v>
      </c>
    </row>
    <row r="148" spans="1:6" x14ac:dyDescent="0.35">
      <c r="A148" s="2">
        <v>44467</v>
      </c>
      <c r="B148">
        <v>-1.374537265459955E-2</v>
      </c>
      <c r="C148">
        <f t="shared" si="10"/>
        <v>10613.736325812502</v>
      </c>
      <c r="D148">
        <f t="shared" si="11"/>
        <v>10944.973849698157</v>
      </c>
      <c r="E148">
        <f t="shared" si="8"/>
        <v>-3.0263893585711021E-2</v>
      </c>
      <c r="F148" s="1">
        <f t="shared" si="9"/>
        <v>6.137363258125017E-2</v>
      </c>
    </row>
    <row r="149" spans="1:6" x14ac:dyDescent="0.35">
      <c r="A149" s="2">
        <v>44468</v>
      </c>
      <c r="B149">
        <v>-4.4297151785163322E-4</v>
      </c>
      <c r="C149">
        <f t="shared" si="10"/>
        <v>10609.03474292218</v>
      </c>
      <c r="D149">
        <f t="shared" si="11"/>
        <v>10944.973849698157</v>
      </c>
      <c r="E149">
        <f t="shared" si="8"/>
        <v>-3.069345906068488E-2</v>
      </c>
      <c r="F149" s="1">
        <f t="shared" si="9"/>
        <v>6.0903474292218096E-2</v>
      </c>
    </row>
    <row r="150" spans="1:6" x14ac:dyDescent="0.35">
      <c r="A150" s="2">
        <v>44469</v>
      </c>
      <c r="B150">
        <v>-1.331301396299258E-3</v>
      </c>
      <c r="C150">
        <f t="shared" si="10"/>
        <v>10594.91092015554</v>
      </c>
      <c r="D150">
        <f t="shared" si="11"/>
        <v>10944.973849698157</v>
      </c>
      <c r="E150">
        <f t="shared" si="8"/>
        <v>-3.1983898212079476E-2</v>
      </c>
      <c r="F150" s="1">
        <f t="shared" si="9"/>
        <v>5.9491092015554026E-2</v>
      </c>
    </row>
    <row r="151" spans="1:6" x14ac:dyDescent="0.35">
      <c r="A151" s="2">
        <v>44470</v>
      </c>
      <c r="B151">
        <v>7.3007448869636341E-3</v>
      </c>
      <c r="C151">
        <f t="shared" si="10"/>
        <v>10672.2616618837</v>
      </c>
      <c r="D151">
        <f t="shared" si="11"/>
        <v>10944.973849698157</v>
      </c>
      <c r="E151">
        <f t="shared" si="8"/>
        <v>-2.491665960645284E-2</v>
      </c>
      <c r="F151" s="1">
        <f t="shared" si="9"/>
        <v>6.7226166188369962E-2</v>
      </c>
    </row>
    <row r="152" spans="1:6" x14ac:dyDescent="0.35">
      <c r="A152" s="2">
        <v>44473</v>
      </c>
      <c r="B152">
        <v>-4.6751575512456577E-3</v>
      </c>
      <c r="C152">
        <f t="shared" si="10"/>
        <v>10622.367157186274</v>
      </c>
      <c r="D152">
        <f t="shared" si="11"/>
        <v>10944.973849698157</v>
      </c>
      <c r="E152">
        <f t="shared" si="8"/>
        <v>-2.9475327848387689E-2</v>
      </c>
      <c r="F152" s="1">
        <f t="shared" si="9"/>
        <v>6.2236715718627433E-2</v>
      </c>
    </row>
    <row r="153" spans="1:6" x14ac:dyDescent="0.35">
      <c r="A153" s="2">
        <v>44474</v>
      </c>
      <c r="B153">
        <v>2.0739714942808671E-3</v>
      </c>
      <c r="C153">
        <f t="shared" si="10"/>
        <v>10644.397643872064</v>
      </c>
      <c r="D153">
        <f t="shared" si="11"/>
        <v>10944.973849698157</v>
      </c>
      <c r="E153">
        <f t="shared" si="8"/>
        <v>-2.7462487343848929E-2</v>
      </c>
      <c r="F153" s="1">
        <f t="shared" si="9"/>
        <v>6.4439764387206333E-2</v>
      </c>
    </row>
    <row r="154" spans="1:6" x14ac:dyDescent="0.35">
      <c r="A154" s="2">
        <v>44475</v>
      </c>
      <c r="B154">
        <v>-4.7457270334094141E-4</v>
      </c>
      <c r="C154">
        <f t="shared" si="10"/>
        <v>10639.346103306776</v>
      </c>
      <c r="D154">
        <f t="shared" si="11"/>
        <v>10944.973849698157</v>
      </c>
      <c r="E154">
        <f t="shared" si="8"/>
        <v>-2.7924027100330595E-2</v>
      </c>
      <c r="F154" s="1">
        <f t="shared" si="9"/>
        <v>6.393461033067771E-2</v>
      </c>
    </row>
    <row r="155" spans="1:6" x14ac:dyDescent="0.35">
      <c r="A155" s="2">
        <v>44476</v>
      </c>
      <c r="B155">
        <v>4.3126275911746E-3</v>
      </c>
      <c r="C155">
        <f t="shared" si="10"/>
        <v>10685.229640863954</v>
      </c>
      <c r="D155">
        <f t="shared" si="11"/>
        <v>10944.973849698157</v>
      </c>
      <c r="E155">
        <f t="shared" si="8"/>
        <v>-2.3731825438885523E-2</v>
      </c>
      <c r="F155" s="1">
        <f t="shared" si="9"/>
        <v>6.8522964086395355E-2</v>
      </c>
    </row>
    <row r="156" spans="1:6" x14ac:dyDescent="0.35">
      <c r="A156" s="2">
        <v>44477</v>
      </c>
      <c r="B156">
        <v>-2.7632896455611752E-3</v>
      </c>
      <c r="C156">
        <f t="shared" si="10"/>
        <v>10655.703256436911</v>
      </c>
      <c r="D156">
        <f t="shared" si="11"/>
        <v>10944.973849698157</v>
      </c>
      <c r="E156">
        <f t="shared" si="8"/>
        <v>-2.6429537176941187E-2</v>
      </c>
      <c r="F156" s="1">
        <f t="shared" si="9"/>
        <v>6.557032564369103E-2</v>
      </c>
    </row>
    <row r="157" spans="1:6" x14ac:dyDescent="0.35">
      <c r="A157" s="2">
        <v>44480</v>
      </c>
      <c r="B157">
        <v>-2.3755213653065079E-3</v>
      </c>
      <c r="C157">
        <f t="shared" si="10"/>
        <v>10630.390405688879</v>
      </c>
      <c r="D157">
        <f t="shared" si="11"/>
        <v>10944.973849698157</v>
      </c>
      <c r="E157">
        <f t="shared" si="8"/>
        <v>-2.8742274612008734E-2</v>
      </c>
      <c r="F157" s="1">
        <f t="shared" si="9"/>
        <v>6.3039040568887872E-2</v>
      </c>
    </row>
    <row r="158" spans="1:6" x14ac:dyDescent="0.35">
      <c r="A158" s="2">
        <v>44481</v>
      </c>
      <c r="B158">
        <v>3.5361754012132908E-3</v>
      </c>
      <c r="C158">
        <f t="shared" si="10"/>
        <v>10667.98133074677</v>
      </c>
      <c r="D158">
        <f t="shared" si="11"/>
        <v>10944.973849698157</v>
      </c>
      <c r="E158">
        <f t="shared" si="8"/>
        <v>-2.5307736935253233E-2</v>
      </c>
      <c r="F158" s="1">
        <f t="shared" si="9"/>
        <v>6.6798133074676969E-2</v>
      </c>
    </row>
    <row r="159" spans="1:6" x14ac:dyDescent="0.35">
      <c r="A159" s="2">
        <v>44482</v>
      </c>
      <c r="B159">
        <v>7.5185145107489991E-3</v>
      </c>
      <c r="C159">
        <f t="shared" si="10"/>
        <v>10748.18870318239</v>
      </c>
      <c r="D159">
        <f t="shared" si="11"/>
        <v>10944.973849698157</v>
      </c>
      <c r="E159">
        <f t="shared" si="8"/>
        <v>-1.7979499011886113E-2</v>
      </c>
      <c r="F159" s="1">
        <f t="shared" si="9"/>
        <v>7.4818870318239084E-2</v>
      </c>
    </row>
    <row r="160" spans="1:6" x14ac:dyDescent="0.35">
      <c r="A160" s="2">
        <v>44483</v>
      </c>
      <c r="B160">
        <v>8.709696824498965E-3</v>
      </c>
      <c r="C160">
        <f t="shared" si="10"/>
        <v>10841.802168199614</v>
      </c>
      <c r="D160">
        <f t="shared" si="11"/>
        <v>10944.973849698157</v>
      </c>
      <c r="E160">
        <f t="shared" si="8"/>
        <v>-9.4263981728369695E-3</v>
      </c>
      <c r="F160" s="1">
        <f t="shared" si="9"/>
        <v>8.4180216819961462E-2</v>
      </c>
    </row>
    <row r="161" spans="1:6" x14ac:dyDescent="0.35">
      <c r="A161" s="2">
        <v>44484</v>
      </c>
      <c r="B161">
        <v>5.6834486104197484E-4</v>
      </c>
      <c r="C161">
        <f t="shared" si="10"/>
        <v>10847.964050746345</v>
      </c>
      <c r="D161">
        <f t="shared" si="11"/>
        <v>10944.973849698157</v>
      </c>
      <c r="E161">
        <f t="shared" si="8"/>
        <v>-8.8634107567545639E-3</v>
      </c>
      <c r="F161" s="1">
        <f t="shared" si="9"/>
        <v>8.4796405074634373E-2</v>
      </c>
    </row>
    <row r="162" spans="1:6" x14ac:dyDescent="0.35">
      <c r="A162" s="2">
        <v>44487</v>
      </c>
      <c r="B162">
        <v>1.461660105189502E-4</v>
      </c>
      <c r="C162">
        <f t="shared" si="10"/>
        <v>10849.549654373894</v>
      </c>
      <c r="D162">
        <f t="shared" si="11"/>
        <v>10944.973849698157</v>
      </c>
      <c r="E162">
        <f t="shared" si="8"/>
        <v>-8.7185402756256858E-3</v>
      </c>
      <c r="F162" s="1">
        <f t="shared" si="9"/>
        <v>8.495496543738934E-2</v>
      </c>
    </row>
    <row r="163" spans="1:6" x14ac:dyDescent="0.35">
      <c r="A163" s="2">
        <v>44488</v>
      </c>
      <c r="B163">
        <v>1.849216706132992E-3</v>
      </c>
      <c r="C163">
        <f t="shared" si="10"/>
        <v>10869.612822848781</v>
      </c>
      <c r="D163">
        <f t="shared" si="11"/>
        <v>10944.973849698157</v>
      </c>
      <c r="E163">
        <f t="shared" si="8"/>
        <v>-6.8854460398234396E-3</v>
      </c>
      <c r="F163" s="1">
        <f t="shared" si="9"/>
        <v>8.6961282284878205E-2</v>
      </c>
    </row>
    <row r="164" spans="1:6" x14ac:dyDescent="0.35">
      <c r="A164" s="2">
        <v>44489</v>
      </c>
      <c r="B164">
        <v>3.24380258251715E-3</v>
      </c>
      <c r="C164">
        <f t="shared" si="10"/>
        <v>10904.871700994501</v>
      </c>
      <c r="D164">
        <f t="shared" si="11"/>
        <v>10944.973849698157</v>
      </c>
      <c r="E164">
        <f t="shared" si="8"/>
        <v>-3.6639784849519241E-3</v>
      </c>
      <c r="F164" s="1">
        <f t="shared" si="9"/>
        <v>9.0487170099450065E-2</v>
      </c>
    </row>
    <row r="165" spans="1:6" x14ac:dyDescent="0.35">
      <c r="A165" s="2">
        <v>44490</v>
      </c>
      <c r="B165">
        <v>-1.9188660320925001E-3</v>
      </c>
      <c r="C165">
        <f t="shared" si="10"/>
        <v>10883.946713103136</v>
      </c>
      <c r="D165">
        <f t="shared" si="11"/>
        <v>10944.973849698157</v>
      </c>
      <c r="E165">
        <f t="shared" si="8"/>
        <v>-5.575813833187393E-3</v>
      </c>
      <c r="F165" s="1">
        <f t="shared" si="9"/>
        <v>8.8394671310313644E-2</v>
      </c>
    </row>
    <row r="166" spans="1:6" x14ac:dyDescent="0.35">
      <c r="A166" s="2">
        <v>44491</v>
      </c>
      <c r="B166">
        <v>1.893316986104641E-3</v>
      </c>
      <c r="C166">
        <f t="shared" si="10"/>
        <v>10904.553474290911</v>
      </c>
      <c r="D166">
        <f t="shared" si="11"/>
        <v>10944.973849698157</v>
      </c>
      <c r="E166">
        <f t="shared" si="8"/>
        <v>-3.6930536301245098E-3</v>
      </c>
      <c r="F166" s="1">
        <f t="shared" si="9"/>
        <v>9.0455347429091226E-2</v>
      </c>
    </row>
    <row r="167" spans="1:6" x14ac:dyDescent="0.35">
      <c r="A167" s="2">
        <v>44494</v>
      </c>
      <c r="B167">
        <v>3.7830040434061328E-3</v>
      </c>
      <c r="C167">
        <f t="shared" si="10"/>
        <v>10945.805444175692</v>
      </c>
      <c r="D167">
        <f t="shared" si="11"/>
        <v>10945.805444175692</v>
      </c>
      <c r="E167">
        <f t="shared" si="8"/>
        <v>0</v>
      </c>
      <c r="F167" s="1">
        <f t="shared" si="9"/>
        <v>9.4580544417569135E-2</v>
      </c>
    </row>
    <row r="168" spans="1:6" x14ac:dyDescent="0.35">
      <c r="A168" s="2">
        <v>44495</v>
      </c>
      <c r="B168">
        <v>3.4169356384259171E-4</v>
      </c>
      <c r="C168">
        <f t="shared" si="10"/>
        <v>10949.545555447039</v>
      </c>
      <c r="D168">
        <f t="shared" si="11"/>
        <v>10949.545555447039</v>
      </c>
      <c r="E168">
        <f t="shared" si="8"/>
        <v>0</v>
      </c>
      <c r="F168" s="1">
        <f t="shared" si="9"/>
        <v>9.4954555544704E-2</v>
      </c>
    </row>
    <row r="169" spans="1:6" x14ac:dyDescent="0.35">
      <c r="A169" s="2">
        <v>44496</v>
      </c>
      <c r="B169">
        <v>-2.308770195445049E-3</v>
      </c>
      <c r="C169">
        <f t="shared" si="10"/>
        <v>10924.265571014956</v>
      </c>
      <c r="D169">
        <f t="shared" si="11"/>
        <v>10949.545555447039</v>
      </c>
      <c r="E169">
        <f t="shared" si="8"/>
        <v>-2.3087701954449535E-3</v>
      </c>
      <c r="F169" s="1">
        <f t="shared" si="9"/>
        <v>9.2426557101495499E-2</v>
      </c>
    </row>
    <row r="170" spans="1:6" x14ac:dyDescent="0.35">
      <c r="A170" s="2">
        <v>44497</v>
      </c>
      <c r="B170">
        <v>5.4435257250122337E-3</v>
      </c>
      <c r="C170">
        <f t="shared" si="10"/>
        <v>10983.732091677641</v>
      </c>
      <c r="D170">
        <f t="shared" si="11"/>
        <v>10983.732091677641</v>
      </c>
      <c r="E170">
        <f t="shared" si="8"/>
        <v>0</v>
      </c>
      <c r="F170" s="1">
        <f t="shared" si="9"/>
        <v>9.8373209167764042E-2</v>
      </c>
    </row>
    <row r="171" spans="1:6" x14ac:dyDescent="0.35">
      <c r="A171" s="2">
        <v>44498</v>
      </c>
      <c r="B171">
        <v>-3.181951956668874E-3</v>
      </c>
      <c r="C171">
        <f t="shared" si="10"/>
        <v>10948.782383857</v>
      </c>
      <c r="D171">
        <f t="shared" si="11"/>
        <v>10983.732091677641</v>
      </c>
      <c r="E171">
        <f t="shared" si="8"/>
        <v>-3.1819519566689269E-3</v>
      </c>
      <c r="F171" s="1">
        <f t="shared" si="9"/>
        <v>9.4878238385700087E-2</v>
      </c>
    </row>
    <row r="172" spans="1:6" x14ac:dyDescent="0.35">
      <c r="A172" s="2">
        <v>44501</v>
      </c>
      <c r="B172">
        <v>4.6773430930908411E-3</v>
      </c>
      <c r="C172">
        <f t="shared" si="10"/>
        <v>10999.993595517888</v>
      </c>
      <c r="D172">
        <f t="shared" si="11"/>
        <v>10999.993595517888</v>
      </c>
      <c r="E172">
        <f t="shared" si="8"/>
        <v>0</v>
      </c>
      <c r="F172" s="1">
        <f t="shared" si="9"/>
        <v>9.9999359551788736E-2</v>
      </c>
    </row>
    <row r="173" spans="1:6" x14ac:dyDescent="0.35">
      <c r="A173" s="2">
        <v>44502</v>
      </c>
      <c r="B173">
        <v>1.482908960203741E-3</v>
      </c>
      <c r="C173">
        <f t="shared" si="10"/>
        <v>11016.305584582866</v>
      </c>
      <c r="D173">
        <f t="shared" si="11"/>
        <v>11016.305584582866</v>
      </c>
      <c r="E173">
        <f t="shared" si="8"/>
        <v>0</v>
      </c>
      <c r="F173" s="1">
        <f t="shared" si="9"/>
        <v>0.10163055845828661</v>
      </c>
    </row>
    <row r="174" spans="1:6" x14ac:dyDescent="0.35">
      <c r="A174" s="2">
        <v>44503</v>
      </c>
      <c r="B174">
        <v>2.449456901342077E-4</v>
      </c>
      <c r="C174">
        <f t="shared" si="10"/>
        <v>11019.00398115701</v>
      </c>
      <c r="D174">
        <f t="shared" si="11"/>
        <v>11019.00398115701</v>
      </c>
      <c r="E174">
        <f t="shared" si="8"/>
        <v>0</v>
      </c>
      <c r="F174" s="1">
        <f t="shared" si="9"/>
        <v>0.10190039811570095</v>
      </c>
    </row>
    <row r="175" spans="1:6" x14ac:dyDescent="0.35">
      <c r="A175" s="2">
        <v>44504</v>
      </c>
      <c r="B175">
        <v>2.8062643052950169E-3</v>
      </c>
      <c r="C175">
        <f t="shared" si="10"/>
        <v>11049.926218709235</v>
      </c>
      <c r="D175">
        <f t="shared" si="11"/>
        <v>11049.926218709235</v>
      </c>
      <c r="E175">
        <f t="shared" si="8"/>
        <v>0</v>
      </c>
      <c r="F175" s="1">
        <f t="shared" si="9"/>
        <v>0.10499262187092362</v>
      </c>
    </row>
    <row r="176" spans="1:6" x14ac:dyDescent="0.35">
      <c r="A176" s="2">
        <v>44505</v>
      </c>
      <c r="B176">
        <v>6.8318706011176907E-3</v>
      </c>
      <c r="C176">
        <f t="shared" si="10"/>
        <v>11125.417884787354</v>
      </c>
      <c r="D176">
        <f t="shared" si="11"/>
        <v>11125.417884787354</v>
      </c>
      <c r="E176">
        <f t="shared" si="8"/>
        <v>0</v>
      </c>
      <c r="F176" s="1">
        <f t="shared" si="9"/>
        <v>0.11254178847873542</v>
      </c>
    </row>
    <row r="177" spans="1:6" x14ac:dyDescent="0.35">
      <c r="A177" s="2">
        <v>44508</v>
      </c>
      <c r="B177">
        <v>9.054694314767416E-4</v>
      </c>
      <c r="C177">
        <f t="shared" si="10"/>
        <v>11135.491610594434</v>
      </c>
      <c r="D177">
        <f t="shared" si="11"/>
        <v>11135.491610594434</v>
      </c>
      <c r="E177">
        <f t="shared" si="8"/>
        <v>0</v>
      </c>
      <c r="F177" s="1">
        <f t="shared" si="9"/>
        <v>0.11354916105944346</v>
      </c>
    </row>
    <row r="178" spans="1:6" x14ac:dyDescent="0.35">
      <c r="A178" s="2">
        <v>44509</v>
      </c>
      <c r="B178">
        <v>1.1364683419899249E-3</v>
      </c>
      <c r="C178">
        <f t="shared" si="10"/>
        <v>11148.146744282369</v>
      </c>
      <c r="D178">
        <f t="shared" si="11"/>
        <v>11148.146744282369</v>
      </c>
      <c r="E178">
        <f t="shared" si="8"/>
        <v>0</v>
      </c>
      <c r="F178" s="1">
        <f t="shared" si="9"/>
        <v>0.11481467442823678</v>
      </c>
    </row>
    <row r="179" spans="1:6" x14ac:dyDescent="0.35">
      <c r="A179" s="2">
        <v>44510</v>
      </c>
      <c r="B179">
        <v>-8.6452765727511992E-3</v>
      </c>
      <c r="C179">
        <f t="shared" si="10"/>
        <v>11051.767932404433</v>
      </c>
      <c r="D179">
        <f t="shared" si="11"/>
        <v>11148.146744282369</v>
      </c>
      <c r="E179">
        <f t="shared" si="8"/>
        <v>-8.6452765727510483E-3</v>
      </c>
      <c r="F179" s="1">
        <f t="shared" si="9"/>
        <v>0.10517679324044327</v>
      </c>
    </row>
    <row r="180" spans="1:6" x14ac:dyDescent="0.35">
      <c r="A180" s="2">
        <v>44511</v>
      </c>
      <c r="B180">
        <v>3.0865090008049909E-3</v>
      </c>
      <c r="C180">
        <f t="shared" si="10"/>
        <v>11085.879313602607</v>
      </c>
      <c r="D180">
        <f t="shared" si="11"/>
        <v>11148.146744282369</v>
      </c>
      <c r="E180">
        <f t="shared" si="8"/>
        <v>-5.5854512959023772E-3</v>
      </c>
      <c r="F180" s="1">
        <f t="shared" si="9"/>
        <v>0.10858793136026068</v>
      </c>
    </row>
    <row r="181" spans="1:6" x14ac:dyDescent="0.35">
      <c r="A181" s="2">
        <v>44512</v>
      </c>
      <c r="B181">
        <v>1.997448508115908E-3</v>
      </c>
      <c r="C181">
        <f t="shared" si="10"/>
        <v>11108.022786698717</v>
      </c>
      <c r="D181">
        <f t="shared" si="11"/>
        <v>11148.146744282369</v>
      </c>
      <c r="E181">
        <f t="shared" si="8"/>
        <v>-3.5991594391444615E-3</v>
      </c>
      <c r="F181" s="1">
        <f t="shared" si="9"/>
        <v>0.11080227866987169</v>
      </c>
    </row>
    <row r="182" spans="1:6" x14ac:dyDescent="0.35">
      <c r="A182" s="2">
        <v>44515</v>
      </c>
      <c r="B182">
        <v>-2.3543128806513252E-3</v>
      </c>
      <c r="C182">
        <f t="shared" si="10"/>
        <v>11081.871025573424</v>
      </c>
      <c r="D182">
        <f t="shared" si="11"/>
        <v>11148.146744282369</v>
      </c>
      <c r="E182">
        <f t="shared" si="8"/>
        <v>-5.9449987723686482E-3</v>
      </c>
      <c r="F182" s="1">
        <f t="shared" si="9"/>
        <v>0.10818710255734243</v>
      </c>
    </row>
    <row r="183" spans="1:6" x14ac:dyDescent="0.35">
      <c r="A183" s="2">
        <v>44516</v>
      </c>
      <c r="B183">
        <v>-6.513934425512334E-4</v>
      </c>
      <c r="C183">
        <f t="shared" si="10"/>
        <v>11074.652367456167</v>
      </c>
      <c r="D183">
        <f t="shared" si="11"/>
        <v>11148.146744282369</v>
      </c>
      <c r="E183">
        <f t="shared" si="8"/>
        <v>-6.5925196817036014E-3</v>
      </c>
      <c r="F183" s="1">
        <f t="shared" si="9"/>
        <v>0.10746523674561659</v>
      </c>
    </row>
    <row r="184" spans="1:6" x14ac:dyDescent="0.35">
      <c r="A184" s="2">
        <v>44517</v>
      </c>
      <c r="B184">
        <v>-3.0065282765914168E-4</v>
      </c>
      <c r="C184">
        <f t="shared" si="10"/>
        <v>11071.32274190655</v>
      </c>
      <c r="D184">
        <f t="shared" si="11"/>
        <v>11148.146744282369</v>
      </c>
      <c r="E184">
        <f t="shared" si="8"/>
        <v>-6.8911904496790077E-3</v>
      </c>
      <c r="F184" s="1">
        <f t="shared" si="9"/>
        <v>0.10713227419065507</v>
      </c>
    </row>
    <row r="185" spans="1:6" x14ac:dyDescent="0.35">
      <c r="A185" s="2">
        <v>44518</v>
      </c>
      <c r="B185">
        <v>3.6866744277728341E-4</v>
      </c>
      <c r="C185">
        <f t="shared" si="10"/>
        <v>11075.404378149969</v>
      </c>
      <c r="D185">
        <f t="shared" si="11"/>
        <v>11148.146744282369</v>
      </c>
      <c r="E185">
        <f t="shared" si="8"/>
        <v>-6.5250635644625854E-3</v>
      </c>
      <c r="F185" s="1">
        <f t="shared" si="9"/>
        <v>0.10754043781499689</v>
      </c>
    </row>
    <row r="186" spans="1:6" x14ac:dyDescent="0.35">
      <c r="A186" s="2">
        <v>44519</v>
      </c>
      <c r="B186">
        <v>-2.398277405658658E-3</v>
      </c>
      <c r="C186">
        <f t="shared" si="10"/>
        <v>11048.842486071318</v>
      </c>
      <c r="D186">
        <f t="shared" si="11"/>
        <v>11148.146744282369</v>
      </c>
      <c r="E186">
        <f t="shared" si="8"/>
        <v>-8.9076920576042218E-3</v>
      </c>
      <c r="F186" s="1">
        <f t="shared" si="9"/>
        <v>0.10488424860713175</v>
      </c>
    </row>
    <row r="187" spans="1:6" x14ac:dyDescent="0.35">
      <c r="A187" s="2">
        <v>44522</v>
      </c>
      <c r="B187">
        <v>-7.0260520773864094E-3</v>
      </c>
      <c r="C187">
        <f t="shared" si="10"/>
        <v>10971.212743369342</v>
      </c>
      <c r="D187">
        <f t="shared" si="11"/>
        <v>11148.146744282369</v>
      </c>
      <c r="E187">
        <f t="shared" si="8"/>
        <v>-1.5871158226704485E-2</v>
      </c>
      <c r="F187" s="1">
        <f t="shared" si="9"/>
        <v>9.7121274336934293E-2</v>
      </c>
    </row>
    <row r="188" spans="1:6" x14ac:dyDescent="0.35">
      <c r="A188" s="2">
        <v>44523</v>
      </c>
      <c r="B188">
        <v>-1.3768673195674081E-3</v>
      </c>
      <c r="C188">
        <f t="shared" si="10"/>
        <v>10956.106839086975</v>
      </c>
      <c r="D188">
        <f t="shared" si="11"/>
        <v>11148.146744282369</v>
      </c>
      <c r="E188">
        <f t="shared" si="8"/>
        <v>-1.722617306718599E-2</v>
      </c>
      <c r="F188" s="1">
        <f t="shared" si="9"/>
        <v>9.5610683908697425E-2</v>
      </c>
    </row>
    <row r="189" spans="1:6" x14ac:dyDescent="0.35">
      <c r="A189" s="2">
        <v>44524</v>
      </c>
      <c r="B189">
        <v>2.5063479457967329E-3</v>
      </c>
      <c r="C189">
        <f t="shared" si="10"/>
        <v>10983.566654957051</v>
      </c>
      <c r="D189">
        <f t="shared" si="11"/>
        <v>11148.146744282369</v>
      </c>
      <c r="E189">
        <f t="shared" si="8"/>
        <v>-1.4762999904870067E-2</v>
      </c>
      <c r="F189" s="1">
        <f t="shared" si="9"/>
        <v>9.8356665495705098E-2</v>
      </c>
    </row>
    <row r="190" spans="1:6" x14ac:dyDescent="0.35">
      <c r="A190" s="2">
        <v>44526</v>
      </c>
      <c r="B190">
        <v>-1.577695311560344E-2</v>
      </c>
      <c r="C190">
        <f t="shared" si="10"/>
        <v>10810.279438799687</v>
      </c>
      <c r="D190">
        <f t="shared" si="11"/>
        <v>11148.146744282369</v>
      </c>
      <c r="E190">
        <f t="shared" si="8"/>
        <v>-3.0307037863128716E-2</v>
      </c>
      <c r="F190" s="1">
        <f t="shared" si="9"/>
        <v>8.1027943879968811E-2</v>
      </c>
    </row>
    <row r="191" spans="1:6" x14ac:dyDescent="0.35">
      <c r="A191" s="2">
        <v>44529</v>
      </c>
      <c r="B191">
        <v>3.7429796469992832E-3</v>
      </c>
      <c r="C191">
        <f t="shared" si="10"/>
        <v>10850.742094717489</v>
      </c>
      <c r="D191">
        <f t="shared" si="11"/>
        <v>11148.146744282369</v>
      </c>
      <c r="E191">
        <f t="shared" si="8"/>
        <v>-2.6677496842012038E-2</v>
      </c>
      <c r="F191" s="1">
        <f t="shared" si="9"/>
        <v>8.5074209471748929E-2</v>
      </c>
    </row>
    <row r="192" spans="1:6" x14ac:dyDescent="0.35">
      <c r="A192" s="2">
        <v>44530</v>
      </c>
      <c r="B192">
        <v>-8.1870629736116238E-3</v>
      </c>
      <c r="C192">
        <f t="shared" si="10"/>
        <v>10761.906385877619</v>
      </c>
      <c r="D192">
        <f t="shared" si="11"/>
        <v>11148.146744282369</v>
      </c>
      <c r="E192">
        <f t="shared" si="8"/>
        <v>-3.4646149468999687E-2</v>
      </c>
      <c r="F192" s="1">
        <f t="shared" si="9"/>
        <v>7.6190638587761983E-2</v>
      </c>
    </row>
    <row r="193" spans="1:6" x14ac:dyDescent="0.35">
      <c r="A193" s="2">
        <v>44531</v>
      </c>
      <c r="B193">
        <v>-5.4630637591215831E-3</v>
      </c>
      <c r="C193">
        <f t="shared" si="10"/>
        <v>10703.113405121872</v>
      </c>
      <c r="D193">
        <f t="shared" si="11"/>
        <v>11148.146744282369</v>
      </c>
      <c r="E193">
        <f t="shared" si="8"/>
        <v>-3.9919939104564039E-2</v>
      </c>
      <c r="F193" s="1">
        <f t="shared" si="9"/>
        <v>7.0311340512187126E-2</v>
      </c>
    </row>
    <row r="194" spans="1:6" x14ac:dyDescent="0.35">
      <c r="A194" s="2">
        <v>44532</v>
      </c>
      <c r="B194">
        <v>9.7644715724528406E-3</v>
      </c>
      <c r="C194">
        <f t="shared" si="10"/>
        <v>10807.623651702923</v>
      </c>
      <c r="D194">
        <f t="shared" si="11"/>
        <v>11148.146744282369</v>
      </c>
      <c r="E194">
        <f t="shared" si="8"/>
        <v>-3.0545264642671821E-2</v>
      </c>
      <c r="F194" s="1">
        <f t="shared" si="9"/>
        <v>8.0762365170292227E-2</v>
      </c>
    </row>
    <row r="195" spans="1:6" x14ac:dyDescent="0.35">
      <c r="A195" s="2">
        <v>44533</v>
      </c>
      <c r="B195">
        <v>-2.717134934788984E-3</v>
      </c>
      <c r="C195">
        <f t="shared" si="10"/>
        <v>10778.25787991683</v>
      </c>
      <c r="D195">
        <f t="shared" si="11"/>
        <v>11148.146744282369</v>
      </c>
      <c r="E195">
        <f t="shared" ref="E195:E258" si="12">(C195/D195)-1</f>
        <v>-3.3179403971807853E-2</v>
      </c>
      <c r="F195" s="1">
        <f t="shared" ref="F195:F258" si="13">C195/$C$2-1</f>
        <v>7.7825787991683049E-2</v>
      </c>
    </row>
    <row r="196" spans="1:6" x14ac:dyDescent="0.35">
      <c r="A196" s="2">
        <v>44536</v>
      </c>
      <c r="B196">
        <v>5.8709466709278083E-3</v>
      </c>
      <c r="C196">
        <f t="shared" ref="C196:C259" si="14">C195*(1+B196)</f>
        <v>10841.536457135329</v>
      </c>
      <c r="D196">
        <f t="shared" ref="D196:D259" si="15">MAX(D195,C196)</f>
        <v>11148.146744282369</v>
      </c>
      <c r="E196">
        <f t="shared" si="12"/>
        <v>-2.7503251812171614E-2</v>
      </c>
      <c r="F196" s="1">
        <f t="shared" si="13"/>
        <v>8.415364571353301E-2</v>
      </c>
    </row>
    <row r="197" spans="1:6" x14ac:dyDescent="0.35">
      <c r="A197" s="2">
        <v>44537</v>
      </c>
      <c r="B197">
        <v>1.148955066760687E-2</v>
      </c>
      <c r="C197">
        <f t="shared" si="14"/>
        <v>10966.100839574294</v>
      </c>
      <c r="D197">
        <f t="shared" si="15"/>
        <v>11148.146744282369</v>
      </c>
      <c r="E197">
        <f t="shared" si="12"/>
        <v>-1.6329701149784603E-2</v>
      </c>
      <c r="F197" s="1">
        <f t="shared" si="13"/>
        <v>9.6610083957429316E-2</v>
      </c>
    </row>
    <row r="198" spans="1:6" x14ac:dyDescent="0.35">
      <c r="A198" s="2">
        <v>44538</v>
      </c>
      <c r="B198">
        <v>1.132279050196108E-3</v>
      </c>
      <c r="C198">
        <f t="shared" si="14"/>
        <v>10978.517525817282</v>
      </c>
      <c r="D198">
        <f t="shared" si="15"/>
        <v>11148.146744282369</v>
      </c>
      <c r="E198">
        <f t="shared" si="12"/>
        <v>-1.5215911878096233E-2</v>
      </c>
      <c r="F198" s="1">
        <f t="shared" si="13"/>
        <v>9.785175258172818E-2</v>
      </c>
    </row>
    <row r="199" spans="1:6" x14ac:dyDescent="0.35">
      <c r="A199" s="2">
        <v>44539</v>
      </c>
      <c r="B199">
        <v>-7.5122447142212823E-3</v>
      </c>
      <c r="C199">
        <f t="shared" si="14"/>
        <v>10896.044215563976</v>
      </c>
      <c r="D199">
        <f t="shared" si="15"/>
        <v>11148.146744282369</v>
      </c>
      <c r="E199">
        <f t="shared" si="12"/>
        <v>-2.2613850938739244E-2</v>
      </c>
      <c r="F199" s="1">
        <f t="shared" si="13"/>
        <v>8.9604421556397584E-2</v>
      </c>
    </row>
    <row r="200" spans="1:6" x14ac:dyDescent="0.35">
      <c r="A200" s="2">
        <v>44540</v>
      </c>
      <c r="B200">
        <v>3.4116996220112999E-3</v>
      </c>
      <c r="C200">
        <f t="shared" si="14"/>
        <v>10933.218245495633</v>
      </c>
      <c r="D200">
        <f t="shared" si="15"/>
        <v>11148.146744282369</v>
      </c>
      <c r="E200">
        <f t="shared" si="12"/>
        <v>-1.9279302983427948E-2</v>
      </c>
      <c r="F200" s="1">
        <f t="shared" si="13"/>
        <v>9.3321824549563281E-2</v>
      </c>
    </row>
    <row r="201" spans="1:6" x14ac:dyDescent="0.35">
      <c r="A201" s="2">
        <v>44543</v>
      </c>
      <c r="B201">
        <v>-2.6739155260814161E-3</v>
      </c>
      <c r="C201">
        <f t="shared" si="14"/>
        <v>10903.983743478966</v>
      </c>
      <c r="D201">
        <f t="shared" si="15"/>
        <v>11148.146744282369</v>
      </c>
      <c r="E201">
        <f t="shared" si="12"/>
        <v>-2.1901667281929882E-2</v>
      </c>
      <c r="F201" s="1">
        <f t="shared" si="13"/>
        <v>9.0398374347896659E-2</v>
      </c>
    </row>
    <row r="202" spans="1:6" x14ac:dyDescent="0.35">
      <c r="A202" s="2">
        <v>44544</v>
      </c>
      <c r="B202">
        <v>-6.2331122767283736E-3</v>
      </c>
      <c r="C202">
        <f t="shared" si="14"/>
        <v>10836.01798854224</v>
      </c>
      <c r="D202">
        <f t="shared" si="15"/>
        <v>11148.146744282369</v>
      </c>
      <c r="E202">
        <f t="shared" si="12"/>
        <v>-2.7998264007442542E-2</v>
      </c>
      <c r="F202" s="1">
        <f t="shared" si="13"/>
        <v>8.3601798854224141E-2</v>
      </c>
    </row>
    <row r="203" spans="1:6" x14ac:dyDescent="0.35">
      <c r="A203" s="2">
        <v>44545</v>
      </c>
      <c r="B203">
        <v>6.8598087753199413E-3</v>
      </c>
      <c r="C203">
        <f t="shared" si="14"/>
        <v>10910.350999829569</v>
      </c>
      <c r="D203">
        <f t="shared" si="15"/>
        <v>11148.146744282369</v>
      </c>
      <c r="E203">
        <f t="shared" si="12"/>
        <v>-2.1330517969254448E-2</v>
      </c>
      <c r="F203" s="1">
        <f t="shared" si="13"/>
        <v>9.103509998295678E-2</v>
      </c>
    </row>
    <row r="204" spans="1:6" x14ac:dyDescent="0.35">
      <c r="A204" s="2">
        <v>44546</v>
      </c>
      <c r="B204">
        <v>-2.7633348296315489E-3</v>
      </c>
      <c r="C204">
        <f t="shared" si="14"/>
        <v>10880.202046908234</v>
      </c>
      <c r="D204">
        <f t="shared" si="15"/>
        <v>11148.146744282369</v>
      </c>
      <c r="E204">
        <f t="shared" si="12"/>
        <v>-2.4034909435647456E-2</v>
      </c>
      <c r="F204" s="1">
        <f t="shared" si="13"/>
        <v>8.8020204690823389E-2</v>
      </c>
    </row>
    <row r="205" spans="1:6" x14ac:dyDescent="0.35">
      <c r="A205" s="2">
        <v>44547</v>
      </c>
      <c r="B205">
        <v>-2.0220028101334418E-3</v>
      </c>
      <c r="C205">
        <f t="shared" si="14"/>
        <v>10858.202247794567</v>
      </c>
      <c r="D205">
        <f t="shared" si="15"/>
        <v>11148.146744282369</v>
      </c>
      <c r="E205">
        <f t="shared" si="12"/>
        <v>-2.6008313591360688E-2</v>
      </c>
      <c r="F205" s="1">
        <f t="shared" si="13"/>
        <v>8.5820224779456611E-2</v>
      </c>
    </row>
    <row r="206" spans="1:6" x14ac:dyDescent="0.35">
      <c r="A206" s="2">
        <v>44550</v>
      </c>
      <c r="B206">
        <v>-7.083100499920808E-3</v>
      </c>
      <c r="C206">
        <f t="shared" si="14"/>
        <v>10781.292510024972</v>
      </c>
      <c r="D206">
        <f t="shared" si="15"/>
        <v>11148.146744282369</v>
      </c>
      <c r="E206">
        <f t="shared" si="12"/>
        <v>-3.2907194592280309E-2</v>
      </c>
      <c r="F206" s="1">
        <f t="shared" si="13"/>
        <v>7.8129251002497124E-2</v>
      </c>
    </row>
    <row r="207" spans="1:6" x14ac:dyDescent="0.35">
      <c r="A207" s="2">
        <v>44551</v>
      </c>
      <c r="B207">
        <v>1.068164258235051E-2</v>
      </c>
      <c r="C207">
        <f t="shared" si="14"/>
        <v>10896.454423192832</v>
      </c>
      <c r="D207">
        <f t="shared" si="15"/>
        <v>11148.146744282369</v>
      </c>
      <c r="E207">
        <f t="shared" si="12"/>
        <v>-2.2577054900952409E-2</v>
      </c>
      <c r="F207" s="1">
        <f t="shared" si="13"/>
        <v>8.9645442319283175E-2</v>
      </c>
    </row>
    <row r="208" spans="1:6" x14ac:dyDescent="0.35">
      <c r="A208" s="2">
        <v>44552</v>
      </c>
      <c r="B208">
        <v>7.2641620883225587E-3</v>
      </c>
      <c r="C208">
        <f t="shared" si="14"/>
        <v>10975.608034310922</v>
      </c>
      <c r="D208">
        <f t="shared" si="15"/>
        <v>11148.146744282369</v>
      </c>
      <c r="E208">
        <f t="shared" si="12"/>
        <v>-1.5476896198907464E-2</v>
      </c>
      <c r="F208" s="1">
        <f t="shared" si="13"/>
        <v>9.7560803431092191E-2</v>
      </c>
    </row>
    <row r="209" spans="1:6" x14ac:dyDescent="0.35">
      <c r="A209" s="2">
        <v>44553</v>
      </c>
      <c r="B209">
        <v>2.4972968657587672E-3</v>
      </c>
      <c r="C209">
        <f t="shared" si="14"/>
        <v>11003.017385854804</v>
      </c>
      <c r="D209">
        <f t="shared" si="15"/>
        <v>11148.146744282369</v>
      </c>
      <c r="E209">
        <f t="shared" si="12"/>
        <v>-1.3018249737517862E-2</v>
      </c>
      <c r="F209" s="1">
        <f t="shared" si="13"/>
        <v>0.10030173858548053</v>
      </c>
    </row>
    <row r="210" spans="1:6" x14ac:dyDescent="0.35">
      <c r="A210" s="2">
        <v>44557</v>
      </c>
      <c r="B210">
        <v>7.5835748530907656E-3</v>
      </c>
      <c r="C210">
        <f t="shared" si="14"/>
        <v>11086.459591810293</v>
      </c>
      <c r="D210">
        <f t="shared" si="15"/>
        <v>11148.146744282369</v>
      </c>
      <c r="E210">
        <f t="shared" si="12"/>
        <v>-5.5333997557678316E-3</v>
      </c>
      <c r="F210" s="1">
        <f t="shared" si="13"/>
        <v>0.10864595918102937</v>
      </c>
    </row>
    <row r="211" spans="1:6" x14ac:dyDescent="0.35">
      <c r="A211" s="2">
        <v>44558</v>
      </c>
      <c r="B211">
        <v>-1.905374719076433E-3</v>
      </c>
      <c r="C211">
        <f t="shared" si="14"/>
        <v>11065.335731979994</v>
      </c>
      <c r="D211">
        <f t="shared" si="15"/>
        <v>11148.146744282369</v>
      </c>
      <c r="E211">
        <f t="shared" si="12"/>
        <v>-7.4282312748391588E-3</v>
      </c>
      <c r="F211" s="1">
        <f t="shared" si="13"/>
        <v>0.1065335731979995</v>
      </c>
    </row>
    <row r="212" spans="1:6" x14ac:dyDescent="0.35">
      <c r="A212" s="2">
        <v>44559</v>
      </c>
      <c r="B212">
        <v>-1.2163668396929421E-3</v>
      </c>
      <c r="C212">
        <f t="shared" si="14"/>
        <v>11051.876224525544</v>
      </c>
      <c r="D212">
        <f t="shared" si="15"/>
        <v>11148.146744282369</v>
      </c>
      <c r="E212">
        <f t="shared" si="12"/>
        <v>-8.6355626603318303E-3</v>
      </c>
      <c r="F212" s="1">
        <f t="shared" si="13"/>
        <v>0.10518762245255431</v>
      </c>
    </row>
    <row r="213" spans="1:6" x14ac:dyDescent="0.35">
      <c r="A213" s="2">
        <v>44560</v>
      </c>
      <c r="B213">
        <v>2.067579200331533E-3</v>
      </c>
      <c r="C213">
        <f t="shared" si="14"/>
        <v>11074.726853932012</v>
      </c>
      <c r="D213">
        <f t="shared" si="15"/>
        <v>11148.146744282369</v>
      </c>
      <c r="E213">
        <f t="shared" si="12"/>
        <v>-6.5858381697398993E-3</v>
      </c>
      <c r="F213" s="1">
        <f t="shared" si="13"/>
        <v>0.10747268539320132</v>
      </c>
    </row>
    <row r="214" spans="1:6" x14ac:dyDescent="0.35">
      <c r="A214" s="2">
        <v>44561</v>
      </c>
      <c r="B214">
        <v>-1.065960262676875E-3</v>
      </c>
      <c r="C214">
        <f t="shared" si="14"/>
        <v>11062.921635185719</v>
      </c>
      <c r="D214">
        <f t="shared" si="15"/>
        <v>11148.146744282369</v>
      </c>
      <c r="E214">
        <f t="shared" si="12"/>
        <v>-7.6447781906314738E-3</v>
      </c>
      <c r="F214" s="1">
        <f t="shared" si="13"/>
        <v>0.10629216351857185</v>
      </c>
    </row>
    <row r="215" spans="1:6" x14ac:dyDescent="0.35">
      <c r="A215" s="2">
        <v>44564</v>
      </c>
      <c r="B215">
        <v>-2.0056359722091751E-3</v>
      </c>
      <c r="C215">
        <f t="shared" si="14"/>
        <v>11040.73344159646</v>
      </c>
      <c r="D215">
        <f t="shared" si="15"/>
        <v>11148.146744282369</v>
      </c>
      <c r="E215">
        <f t="shared" si="12"/>
        <v>-9.6350815207020268E-3</v>
      </c>
      <c r="F215" s="1">
        <f t="shared" si="13"/>
        <v>0.10407334415964598</v>
      </c>
    </row>
    <row r="216" spans="1:6" x14ac:dyDescent="0.35">
      <c r="A216" s="2">
        <v>44565</v>
      </c>
      <c r="B216">
        <v>-6.9000373654908281E-5</v>
      </c>
      <c r="C216">
        <f t="shared" si="14"/>
        <v>11039.971626863566</v>
      </c>
      <c r="D216">
        <f t="shared" si="15"/>
        <v>11148.146744282369</v>
      </c>
      <c r="E216">
        <f t="shared" si="12"/>
        <v>-9.7034170701317812E-3</v>
      </c>
      <c r="F216" s="1">
        <f t="shared" si="13"/>
        <v>0.1039971626863565</v>
      </c>
    </row>
    <row r="217" spans="1:6" x14ac:dyDescent="0.35">
      <c r="A217" s="2">
        <v>44566</v>
      </c>
      <c r="B217">
        <v>-1.4001927774399819E-2</v>
      </c>
      <c r="C217">
        <f t="shared" si="14"/>
        <v>10885.3907415128</v>
      </c>
      <c r="D217">
        <f t="shared" si="15"/>
        <v>11148.146744282369</v>
      </c>
      <c r="E217">
        <f t="shared" si="12"/>
        <v>-2.3569478299550584E-2</v>
      </c>
      <c r="F217" s="1">
        <f t="shared" si="13"/>
        <v>8.8539074151279928E-2</v>
      </c>
    </row>
    <row r="218" spans="1:6" x14ac:dyDescent="0.35">
      <c r="A218" s="2">
        <v>44567</v>
      </c>
      <c r="B218">
        <v>-2.4671878071950041E-5</v>
      </c>
      <c r="C218">
        <f t="shared" si="14"/>
        <v>10885.12217847966</v>
      </c>
      <c r="D218">
        <f t="shared" si="15"/>
        <v>11148.146744282369</v>
      </c>
      <c r="E218">
        <f t="shared" si="12"/>
        <v>-2.3593568674327714E-2</v>
      </c>
      <c r="F218" s="1">
        <f t="shared" si="13"/>
        <v>8.8512217847966035E-2</v>
      </c>
    </row>
    <row r="219" spans="1:6" x14ac:dyDescent="0.35">
      <c r="A219" s="2">
        <v>44568</v>
      </c>
      <c r="B219">
        <v>-2.6538200784513499E-3</v>
      </c>
      <c r="C219">
        <f t="shared" si="14"/>
        <v>10856.235022686014</v>
      </c>
      <c r="D219">
        <f t="shared" si="15"/>
        <v>11148.146744282369</v>
      </c>
      <c r="E219">
        <f t="shared" si="12"/>
        <v>-2.6184775666508786E-2</v>
      </c>
      <c r="F219" s="1">
        <f t="shared" si="13"/>
        <v>8.5623502268601381E-2</v>
      </c>
    </row>
    <row r="220" spans="1:6" x14ac:dyDescent="0.35">
      <c r="A220" s="2">
        <v>44571</v>
      </c>
      <c r="B220">
        <v>-1.516789828825375E-3</v>
      </c>
      <c r="C220">
        <f t="shared" si="14"/>
        <v>10839.768395824267</v>
      </c>
      <c r="D220">
        <f t="shared" si="15"/>
        <v>11148.146744282369</v>
      </c>
      <c r="E220">
        <f t="shared" si="12"/>
        <v>-2.7661848693933067E-2</v>
      </c>
      <c r="F220" s="1">
        <f t="shared" si="13"/>
        <v>8.3976839582426743E-2</v>
      </c>
    </row>
    <row r="221" spans="1:6" x14ac:dyDescent="0.35">
      <c r="A221" s="2">
        <v>44572</v>
      </c>
      <c r="B221">
        <v>9.8734261623262907E-3</v>
      </c>
      <c r="C221">
        <f t="shared" si="14"/>
        <v>10946.794048697157</v>
      </c>
      <c r="D221">
        <f t="shared" si="15"/>
        <v>11148.146744282369</v>
      </c>
      <c r="E221">
        <f t="shared" si="12"/>
        <v>-1.8061539752199707E-2</v>
      </c>
      <c r="F221" s="1">
        <f t="shared" si="13"/>
        <v>9.4679404869715711E-2</v>
      </c>
    </row>
    <row r="222" spans="1:6" x14ac:dyDescent="0.35">
      <c r="A222" s="2">
        <v>44573</v>
      </c>
      <c r="B222">
        <v>2.8796854451571502E-3</v>
      </c>
      <c r="C222">
        <f t="shared" si="14"/>
        <v>10978.317372190322</v>
      </c>
      <c r="D222">
        <f t="shared" si="15"/>
        <v>11148.146744282369</v>
      </c>
      <c r="E222">
        <f t="shared" si="12"/>
        <v>-1.5233865860184159E-2</v>
      </c>
      <c r="F222" s="1">
        <f t="shared" si="13"/>
        <v>9.7831737219032266E-2</v>
      </c>
    </row>
    <row r="223" spans="1:6" x14ac:dyDescent="0.35">
      <c r="A223" s="2">
        <v>44574</v>
      </c>
      <c r="B223">
        <v>-6.1443651038967746E-3</v>
      </c>
      <c r="C223">
        <f t="shared" si="14"/>
        <v>10910.862582029131</v>
      </c>
      <c r="D223">
        <f t="shared" si="15"/>
        <v>11148.146744282369</v>
      </c>
      <c r="E223">
        <f t="shared" si="12"/>
        <v>-2.1284628530292338E-2</v>
      </c>
      <c r="F223" s="1">
        <f t="shared" si="13"/>
        <v>9.1086258202913051E-2</v>
      </c>
    </row>
    <row r="224" spans="1:6" x14ac:dyDescent="0.35">
      <c r="A224" s="2">
        <v>44575</v>
      </c>
      <c r="B224">
        <v>-2.0024638488460329E-3</v>
      </c>
      <c r="C224">
        <f t="shared" si="14"/>
        <v>10889.013974148891</v>
      </c>
      <c r="D224">
        <f t="shared" si="15"/>
        <v>11148.146744282369</v>
      </c>
      <c r="E224">
        <f t="shared" si="12"/>
        <v>-2.3244470679970264E-2</v>
      </c>
      <c r="F224" s="1">
        <f t="shared" si="13"/>
        <v>8.8901397414889116E-2</v>
      </c>
    </row>
    <row r="225" spans="1:6" x14ac:dyDescent="0.35">
      <c r="A225" s="2">
        <v>44579</v>
      </c>
      <c r="B225">
        <v>-1.2138444127229069E-2</v>
      </c>
      <c r="C225">
        <f t="shared" si="14"/>
        <v>10756.838286423068</v>
      </c>
      <c r="D225">
        <f t="shared" si="15"/>
        <v>11148.146744282369</v>
      </c>
      <c r="E225">
        <f t="shared" si="12"/>
        <v>-3.5100763098583565E-2</v>
      </c>
      <c r="F225" s="1">
        <f t="shared" si="13"/>
        <v>7.5683828642306716E-2</v>
      </c>
    </row>
    <row r="226" spans="1:6" x14ac:dyDescent="0.35">
      <c r="A226" s="2">
        <v>44580</v>
      </c>
      <c r="B226">
        <v>-1.3687839150564581E-3</v>
      </c>
      <c r="C226">
        <f t="shared" si="14"/>
        <v>10742.114499199748</v>
      </c>
      <c r="D226">
        <f t="shared" si="15"/>
        <v>11148.146744282369</v>
      </c>
      <c r="E226">
        <f t="shared" si="12"/>
        <v>-3.6421501653704502E-2</v>
      </c>
      <c r="F226" s="1">
        <f t="shared" si="13"/>
        <v>7.4211449919974859E-2</v>
      </c>
    </row>
    <row r="227" spans="1:6" x14ac:dyDescent="0.35">
      <c r="A227" s="2">
        <v>44581</v>
      </c>
      <c r="B227">
        <v>-4.5185665389676924E-3</v>
      </c>
      <c r="C227">
        <f t="shared" si="14"/>
        <v>10693.575540065905</v>
      </c>
      <c r="D227">
        <f t="shared" si="15"/>
        <v>11148.146744282369</v>
      </c>
      <c r="E227">
        <f t="shared" si="12"/>
        <v>-4.0775495214000701E-2</v>
      </c>
      <c r="F227" s="1">
        <f t="shared" si="13"/>
        <v>6.9357554006590494E-2</v>
      </c>
    </row>
    <row r="228" spans="1:6" x14ac:dyDescent="0.35">
      <c r="A228" s="2">
        <v>44582</v>
      </c>
      <c r="B228">
        <v>-6.2150963789530996E-3</v>
      </c>
      <c r="C228">
        <f t="shared" si="14"/>
        <v>10627.113937448779</v>
      </c>
      <c r="D228">
        <f t="shared" si="15"/>
        <v>11148.146744282369</v>
      </c>
      <c r="E228">
        <f t="shared" si="12"/>
        <v>-4.6737167960299364E-2</v>
      </c>
      <c r="F228" s="1">
        <f t="shared" si="13"/>
        <v>6.2711393744877997E-2</v>
      </c>
    </row>
    <row r="229" spans="1:6" x14ac:dyDescent="0.35">
      <c r="A229" s="2">
        <v>44585</v>
      </c>
      <c r="B229">
        <v>-2.504797424831645E-5</v>
      </c>
      <c r="C229">
        <f t="shared" si="14"/>
        <v>10626.84774977254</v>
      </c>
      <c r="D229">
        <f t="shared" si="15"/>
        <v>11148.146744282369</v>
      </c>
      <c r="E229">
        <f t="shared" si="12"/>
        <v>-4.6761045263168155E-2</v>
      </c>
      <c r="F229" s="1">
        <f t="shared" si="13"/>
        <v>6.2684774977253888E-2</v>
      </c>
    </row>
    <row r="230" spans="1:6" x14ac:dyDescent="0.35">
      <c r="A230" s="2">
        <v>44586</v>
      </c>
      <c r="B230">
        <v>-4.7534015103089574E-3</v>
      </c>
      <c r="C230">
        <f t="shared" si="14"/>
        <v>10576.334075628947</v>
      </c>
      <c r="D230">
        <f t="shared" si="15"/>
        <v>11148.146744282369</v>
      </c>
      <c r="E230">
        <f t="shared" si="12"/>
        <v>-5.1292172750299625E-2</v>
      </c>
      <c r="F230" s="1">
        <f t="shared" si="13"/>
        <v>5.7633407562894812E-2</v>
      </c>
    </row>
    <row r="231" spans="1:6" x14ac:dyDescent="0.35">
      <c r="A231" s="2">
        <v>44587</v>
      </c>
      <c r="B231">
        <v>-7.8283240086609741E-3</v>
      </c>
      <c r="C231">
        <f t="shared" si="14"/>
        <v>10493.539105661082</v>
      </c>
      <c r="D231">
        <f t="shared" si="15"/>
        <v>11148.146744282369</v>
      </c>
      <c r="E231">
        <f t="shared" si="12"/>
        <v>-5.871896501156304E-2</v>
      </c>
      <c r="F231" s="1">
        <f t="shared" si="13"/>
        <v>4.9353910566108272E-2</v>
      </c>
    </row>
    <row r="232" spans="1:6" x14ac:dyDescent="0.35">
      <c r="A232" s="2">
        <v>44588</v>
      </c>
      <c r="B232">
        <v>-4.8293217438624501E-3</v>
      </c>
      <c r="C232">
        <f t="shared" si="14"/>
        <v>10442.862429088043</v>
      </c>
      <c r="D232">
        <f t="shared" si="15"/>
        <v>11148.146744282369</v>
      </c>
      <c r="E232">
        <f t="shared" si="12"/>
        <v>-6.326471398091793E-2</v>
      </c>
      <c r="F232" s="1">
        <f t="shared" si="13"/>
        <v>4.4286242908804452E-2</v>
      </c>
    </row>
    <row r="233" spans="1:6" x14ac:dyDescent="0.35">
      <c r="A233" s="2">
        <v>44589</v>
      </c>
      <c r="B233">
        <v>1.006698502999487E-2</v>
      </c>
      <c r="C233">
        <f t="shared" si="14"/>
        <v>10547.990568831969</v>
      </c>
      <c r="D233">
        <f t="shared" si="15"/>
        <v>11148.146744282369</v>
      </c>
      <c r="E233">
        <f t="shared" si="12"/>
        <v>-5.3834613879495841E-2</v>
      </c>
      <c r="F233" s="1">
        <f t="shared" si="13"/>
        <v>5.4799056883196862E-2</v>
      </c>
    </row>
    <row r="234" spans="1:6" x14ac:dyDescent="0.35">
      <c r="A234" s="2">
        <v>44592</v>
      </c>
      <c r="B234">
        <v>1.2113610411427221E-2</v>
      </c>
      <c r="C234">
        <f t="shared" si="14"/>
        <v>10675.764817206207</v>
      </c>
      <c r="D234">
        <f t="shared" si="15"/>
        <v>11148.146744282369</v>
      </c>
      <c r="E234">
        <f t="shared" si="12"/>
        <v>-4.2373135007254481E-2</v>
      </c>
      <c r="F234" s="1">
        <f t="shared" si="13"/>
        <v>6.7576481720620807E-2</v>
      </c>
    </row>
    <row r="235" spans="1:6" x14ac:dyDescent="0.35">
      <c r="A235" s="2">
        <v>44593</v>
      </c>
      <c r="B235">
        <v>3.4971258327841661E-3</v>
      </c>
      <c r="C235">
        <f t="shared" si="14"/>
        <v>10713.099310133188</v>
      </c>
      <c r="D235">
        <f t="shared" si="15"/>
        <v>11148.146744282369</v>
      </c>
      <c r="E235">
        <f t="shared" si="12"/>
        <v>-3.9024193359520232E-2</v>
      </c>
      <c r="F235" s="1">
        <f t="shared" si="13"/>
        <v>7.1309931013318728E-2</v>
      </c>
    </row>
    <row r="236" spans="1:6" x14ac:dyDescent="0.35">
      <c r="A236" s="2">
        <v>44594</v>
      </c>
      <c r="B236">
        <v>3.429179655660519E-3</v>
      </c>
      <c r="C236">
        <f t="shared" si="14"/>
        <v>10749.836452336567</v>
      </c>
      <c r="D236">
        <f t="shared" si="15"/>
        <v>11148.146744282369</v>
      </c>
      <c r="E236">
        <f t="shared" si="12"/>
        <v>-3.572883467380672E-2</v>
      </c>
      <c r="F236" s="1">
        <f t="shared" si="13"/>
        <v>7.4983645233656748E-2</v>
      </c>
    </row>
    <row r="237" spans="1:6" x14ac:dyDescent="0.35">
      <c r="A237" s="2">
        <v>44595</v>
      </c>
      <c r="B237">
        <v>-1.236051610720652E-2</v>
      </c>
      <c r="C237">
        <f t="shared" si="14"/>
        <v>10616.962925717624</v>
      </c>
      <c r="D237">
        <f t="shared" si="15"/>
        <v>11148.146744282369</v>
      </c>
      <c r="E237">
        <f t="shared" si="12"/>
        <v>-4.7647723944536091E-2</v>
      </c>
      <c r="F237" s="1">
        <f t="shared" si="13"/>
        <v>6.1696292571762346E-2</v>
      </c>
    </row>
    <row r="238" spans="1:6" x14ac:dyDescent="0.35">
      <c r="A238" s="2">
        <v>44596</v>
      </c>
      <c r="B238">
        <v>-8.5252856972019145E-4</v>
      </c>
      <c r="C238">
        <f t="shared" si="14"/>
        <v>10607.911661499789</v>
      </c>
      <c r="D238">
        <f t="shared" si="15"/>
        <v>11148.146744282369</v>
      </c>
      <c r="E238">
        <f t="shared" si="12"/>
        <v>-4.8459631468311448E-2</v>
      </c>
      <c r="F238" s="1">
        <f t="shared" si="13"/>
        <v>6.0791166149978926E-2</v>
      </c>
    </row>
    <row r="239" spans="1:6" x14ac:dyDescent="0.35">
      <c r="A239" s="2">
        <v>44599</v>
      </c>
      <c r="B239">
        <v>2.949664755177168E-4</v>
      </c>
      <c r="C239">
        <f t="shared" si="14"/>
        <v>10611.040639815184</v>
      </c>
      <c r="D239">
        <f t="shared" si="15"/>
        <v>11148.146744282369</v>
      </c>
      <c r="E239">
        <f t="shared" si="12"/>
        <v>-4.8178958959492868E-2</v>
      </c>
      <c r="F239" s="1">
        <f t="shared" si="13"/>
        <v>6.1104063981518353E-2</v>
      </c>
    </row>
    <row r="240" spans="1:6" x14ac:dyDescent="0.35">
      <c r="A240" s="2">
        <v>44600</v>
      </c>
      <c r="B240">
        <v>2.1849726528639589E-3</v>
      </c>
      <c r="C240">
        <f t="shared" si="14"/>
        <v>10634.225473431608</v>
      </c>
      <c r="D240">
        <f t="shared" si="15"/>
        <v>11148.146744282369</v>
      </c>
      <c r="E240">
        <f t="shared" si="12"/>
        <v>-4.6099256014398904E-2</v>
      </c>
      <c r="F240" s="1">
        <f t="shared" si="13"/>
        <v>6.3422547343160884E-2</v>
      </c>
    </row>
    <row r="241" spans="1:6" x14ac:dyDescent="0.35">
      <c r="A241" s="2">
        <v>44601</v>
      </c>
      <c r="B241">
        <v>1.1225847281065531E-2</v>
      </c>
      <c r="C241">
        <f t="shared" si="14"/>
        <v>10753.603664548769</v>
      </c>
      <c r="D241">
        <f t="shared" si="15"/>
        <v>11148.146744282369</v>
      </c>
      <c r="E241">
        <f t="shared" si="12"/>
        <v>-3.539091194112165E-2</v>
      </c>
      <c r="F241" s="1">
        <f t="shared" si="13"/>
        <v>7.5360366454876981E-2</v>
      </c>
    </row>
    <row r="242" spans="1:6" x14ac:dyDescent="0.35">
      <c r="A242" s="2">
        <v>44602</v>
      </c>
      <c r="B242">
        <v>-1.331889644300796E-2</v>
      </c>
      <c r="C242">
        <f t="shared" si="14"/>
        <v>10610.377530951493</v>
      </c>
      <c r="D242">
        <f t="shared" si="15"/>
        <v>11148.146744282369</v>
      </c>
      <c r="E242">
        <f t="shared" si="12"/>
        <v>-4.823844049296222E-2</v>
      </c>
      <c r="F242" s="1">
        <f t="shared" si="13"/>
        <v>6.1037753095149361E-2</v>
      </c>
    </row>
    <row r="243" spans="1:6" x14ac:dyDescent="0.35">
      <c r="A243" s="2">
        <v>44603</v>
      </c>
      <c r="B243">
        <v>-3.1537274890718831E-3</v>
      </c>
      <c r="C243">
        <f t="shared" si="14"/>
        <v>10576.915291662701</v>
      </c>
      <c r="D243">
        <f t="shared" si="15"/>
        <v>11148.146744282369</v>
      </c>
      <c r="E243">
        <f t="shared" si="12"/>
        <v>-5.124003708622149E-2</v>
      </c>
      <c r="F243" s="1">
        <f t="shared" si="13"/>
        <v>5.7691529166270072E-2</v>
      </c>
    </row>
    <row r="244" spans="1:6" x14ac:dyDescent="0.35">
      <c r="A244" s="2">
        <v>44606</v>
      </c>
      <c r="B244">
        <v>-3.956597252663575E-3</v>
      </c>
      <c r="C244">
        <f t="shared" si="14"/>
        <v>10535.066697678052</v>
      </c>
      <c r="D244">
        <f t="shared" si="15"/>
        <v>11148.146744282369</v>
      </c>
      <c r="E244">
        <f t="shared" si="12"/>
        <v>-5.4993898148923415E-2</v>
      </c>
      <c r="F244" s="1">
        <f t="shared" si="13"/>
        <v>5.3506669767805271E-2</v>
      </c>
    </row>
    <row r="245" spans="1:6" x14ac:dyDescent="0.35">
      <c r="A245" s="2">
        <v>44607</v>
      </c>
      <c r="B245">
        <v>6.1122172231325E-3</v>
      </c>
      <c r="C245">
        <f t="shared" si="14"/>
        <v>10599.45931379445</v>
      </c>
      <c r="D245">
        <f t="shared" si="15"/>
        <v>11148.146744282369</v>
      </c>
      <c r="E245">
        <f t="shared" si="12"/>
        <v>-4.9217815577223822E-2</v>
      </c>
      <c r="F245" s="1">
        <f t="shared" si="13"/>
        <v>5.9945931379445039E-2</v>
      </c>
    </row>
    <row r="246" spans="1:6" x14ac:dyDescent="0.35">
      <c r="A246" s="2">
        <v>44608</v>
      </c>
      <c r="B246">
        <v>3.776263476234467E-3</v>
      </c>
      <c r="C246">
        <f t="shared" si="14"/>
        <v>10639.485664868964</v>
      </c>
      <c r="D246">
        <f t="shared" si="15"/>
        <v>11148.146744282369</v>
      </c>
      <c r="E246">
        <f t="shared" si="12"/>
        <v>-4.5627411540333895E-2</v>
      </c>
      <c r="F246" s="1">
        <f t="shared" si="13"/>
        <v>6.3948566486896397E-2</v>
      </c>
    </row>
    <row r="247" spans="1:6" x14ac:dyDescent="0.35">
      <c r="A247" s="2">
        <v>44609</v>
      </c>
      <c r="B247">
        <v>-6.9866014152801578E-3</v>
      </c>
      <c r="C247">
        <f t="shared" si="14"/>
        <v>10565.151819264936</v>
      </c>
      <c r="D247">
        <f t="shared" si="15"/>
        <v>11148.146744282369</v>
      </c>
      <c r="E247">
        <f t="shared" si="12"/>
        <v>-5.2295232417570836E-2</v>
      </c>
      <c r="F247" s="1">
        <f t="shared" si="13"/>
        <v>5.6515181926493741E-2</v>
      </c>
    </row>
    <row r="248" spans="1:6" x14ac:dyDescent="0.35">
      <c r="A248" s="2">
        <v>44610</v>
      </c>
      <c r="B248">
        <v>-2.157326375061633E-3</v>
      </c>
      <c r="C248">
        <f t="shared" si="14"/>
        <v>10542.359338588705</v>
      </c>
      <c r="D248">
        <f t="shared" si="15"/>
        <v>11148.146744282369</v>
      </c>
      <c r="E248">
        <f t="shared" si="12"/>
        <v>-5.4339740908448175E-2</v>
      </c>
      <c r="F248" s="1">
        <f t="shared" si="13"/>
        <v>5.4235933858870489E-2</v>
      </c>
    </row>
    <row r="249" spans="1:6" x14ac:dyDescent="0.35">
      <c r="A249" s="2">
        <v>44614</v>
      </c>
      <c r="B249">
        <v>-4.090410540665607E-3</v>
      </c>
      <c r="C249">
        <f t="shared" si="14"/>
        <v>10499.236760826658</v>
      </c>
      <c r="D249">
        <f t="shared" si="15"/>
        <v>11148.146744282369</v>
      </c>
      <c r="E249">
        <f t="shared" si="12"/>
        <v>-5.8207879600124746E-2</v>
      </c>
      <c r="F249" s="1">
        <f t="shared" si="13"/>
        <v>4.9923676082665791E-2</v>
      </c>
    </row>
    <row r="250" spans="1:6" x14ac:dyDescent="0.35">
      <c r="A250" s="2">
        <v>44615</v>
      </c>
      <c r="B250">
        <v>-9.5386911622163915E-3</v>
      </c>
      <c r="C250">
        <f t="shared" si="14"/>
        <v>10399.087783926143</v>
      </c>
      <c r="D250">
        <f t="shared" si="15"/>
        <v>11148.146744282369</v>
      </c>
      <c r="E250">
        <f t="shared" si="12"/>
        <v>-6.7191343775628076E-2</v>
      </c>
      <c r="F250" s="1">
        <f t="shared" si="13"/>
        <v>3.9908778392614197E-2</v>
      </c>
    </row>
    <row r="251" spans="1:6" x14ac:dyDescent="0.35">
      <c r="A251" s="2">
        <v>44616</v>
      </c>
      <c r="B251">
        <v>5.856821151301342E-3</v>
      </c>
      <c r="C251">
        <f t="shared" si="14"/>
        <v>10459.99338121328</v>
      </c>
      <c r="D251">
        <f t="shared" si="15"/>
        <v>11148.146744282369</v>
      </c>
      <c r="E251">
        <f t="shared" si="12"/>
        <v>-6.1728050307736315E-2</v>
      </c>
      <c r="F251" s="1">
        <f t="shared" si="13"/>
        <v>4.5999338121327948E-2</v>
      </c>
    </row>
    <row r="252" spans="1:6" x14ac:dyDescent="0.35">
      <c r="A252" s="2">
        <v>44617</v>
      </c>
      <c r="B252">
        <v>9.952447716125374E-3</v>
      </c>
      <c r="C252">
        <f t="shared" si="14"/>
        <v>10564.095918450825</v>
      </c>
      <c r="D252">
        <f t="shared" si="15"/>
        <v>11148.146744282369</v>
      </c>
      <c r="E252">
        <f t="shared" si="12"/>
        <v>-5.238994778491679E-2</v>
      </c>
      <c r="F252" s="1">
        <f t="shared" si="13"/>
        <v>5.640959184508243E-2</v>
      </c>
    </row>
    <row r="253" spans="1:6" x14ac:dyDescent="0.35">
      <c r="A253" s="2">
        <v>44620</v>
      </c>
      <c r="B253">
        <v>2.4633367184075171E-3</v>
      </c>
      <c r="C253">
        <f t="shared" si="14"/>
        <v>10590.118843823524</v>
      </c>
      <c r="D253">
        <f t="shared" si="15"/>
        <v>11148.146744282369</v>
      </c>
      <c r="E253">
        <f t="shared" si="12"/>
        <v>-5.00556651485633E-2</v>
      </c>
      <c r="F253" s="1">
        <f t="shared" si="13"/>
        <v>5.9011884382352386E-2</v>
      </c>
    </row>
    <row r="254" spans="1:6" x14ac:dyDescent="0.35">
      <c r="A254" s="2">
        <v>44621</v>
      </c>
      <c r="B254">
        <v>-7.8796066086897531E-4</v>
      </c>
      <c r="C254">
        <f t="shared" si="14"/>
        <v>10581.774246780664</v>
      </c>
      <c r="D254">
        <f t="shared" si="15"/>
        <v>11148.146744282369</v>
      </c>
      <c r="E254">
        <f t="shared" si="12"/>
        <v>-5.0804183914441636E-2</v>
      </c>
      <c r="F254" s="1">
        <f t="shared" si="13"/>
        <v>5.8177424678066414E-2</v>
      </c>
    </row>
    <row r="255" spans="1:6" x14ac:dyDescent="0.35">
      <c r="A255" s="2">
        <v>44622</v>
      </c>
      <c r="B255">
        <v>4.3515031245387661E-3</v>
      </c>
      <c r="C255">
        <f t="shared" si="14"/>
        <v>10627.820870478692</v>
      </c>
      <c r="D255">
        <f t="shared" si="15"/>
        <v>11148.146744282369</v>
      </c>
      <c r="E255">
        <f t="shared" si="12"/>
        <v>-4.6673755354946334E-2</v>
      </c>
      <c r="F255" s="1">
        <f t="shared" si="13"/>
        <v>6.2782087047869251E-2</v>
      </c>
    </row>
    <row r="256" spans="1:6" x14ac:dyDescent="0.35">
      <c r="A256" s="2">
        <v>44623</v>
      </c>
      <c r="B256">
        <v>-2.0582622752728669E-3</v>
      </c>
      <c r="C256">
        <f t="shared" si="14"/>
        <v>10605.946027712629</v>
      </c>
      <c r="D256">
        <f t="shared" si="15"/>
        <v>11148.146744282369</v>
      </c>
      <c r="E256">
        <f t="shared" si="12"/>
        <v>-4.8635950800326677E-2</v>
      </c>
      <c r="F256" s="1">
        <f t="shared" si="13"/>
        <v>6.059460277126294E-2</v>
      </c>
    </row>
    <row r="257" spans="1:6" x14ac:dyDescent="0.35">
      <c r="A257" s="2">
        <v>44624</v>
      </c>
      <c r="B257">
        <v>-2.6949563325291638E-4</v>
      </c>
      <c r="C257">
        <f t="shared" si="14"/>
        <v>10603.087771571643</v>
      </c>
      <c r="D257">
        <f t="shared" si="15"/>
        <v>11148.146744282369</v>
      </c>
      <c r="E257">
        <f t="shared" si="12"/>
        <v>-4.8892339257219919E-2</v>
      </c>
      <c r="F257" s="1">
        <f t="shared" si="13"/>
        <v>6.0308777157164428E-2</v>
      </c>
    </row>
    <row r="258" spans="1:6" x14ac:dyDescent="0.35">
      <c r="A258" s="2">
        <v>44627</v>
      </c>
      <c r="B258">
        <v>-1.4680759987928589E-2</v>
      </c>
      <c r="C258">
        <f t="shared" si="14"/>
        <v>10447.426384866259</v>
      </c>
      <c r="D258">
        <f t="shared" si="15"/>
        <v>11148.146744282369</v>
      </c>
      <c r="E258">
        <f t="shared" si="12"/>
        <v>-6.2855322547264891E-2</v>
      </c>
      <c r="F258" s="1">
        <f t="shared" si="13"/>
        <v>4.4742638486625852E-2</v>
      </c>
    </row>
    <row r="259" spans="1:6" x14ac:dyDescent="0.35">
      <c r="A259" s="2">
        <v>44628</v>
      </c>
      <c r="B259">
        <v>1.5585903934471001E-3</v>
      </c>
      <c r="C259">
        <f t="shared" si="14"/>
        <v>10463.709643265958</v>
      </c>
      <c r="D259">
        <f t="shared" si="15"/>
        <v>11148.146744282369</v>
      </c>
      <c r="E259">
        <f t="shared" ref="E259:E322" si="16">(C259/D259)-1</f>
        <v>-6.139469785571694E-2</v>
      </c>
      <c r="F259" s="1">
        <f t="shared" ref="F259:F322" si="17">C259/$C$2-1</f>
        <v>4.6370964326595931E-2</v>
      </c>
    </row>
    <row r="260" spans="1:6" x14ac:dyDescent="0.35">
      <c r="A260" s="2">
        <v>44629</v>
      </c>
      <c r="B260">
        <v>5.1222652267510754E-3</v>
      </c>
      <c r="C260">
        <f t="shared" ref="C260:C323" si="18">C259*(1+B260)</f>
        <v>10517.307539314479</v>
      </c>
      <c r="D260">
        <f t="shared" ref="D260:D323" si="19">MAX(D259,C260)</f>
        <v>11148.146744282369</v>
      </c>
      <c r="E260">
        <f t="shared" si="16"/>
        <v>-5.6586912554899116E-2</v>
      </c>
      <c r="F260" s="1">
        <f t="shared" si="17"/>
        <v>5.1730753931447992E-2</v>
      </c>
    </row>
    <row r="261" spans="1:6" x14ac:dyDescent="0.35">
      <c r="A261" s="2">
        <v>44630</v>
      </c>
      <c r="B261">
        <v>-7.7724953609662403E-3</v>
      </c>
      <c r="C261">
        <f t="shared" si="18"/>
        <v>10435.561815255302</v>
      </c>
      <c r="D261">
        <f t="shared" si="19"/>
        <v>11148.146744282369</v>
      </c>
      <c r="E261">
        <f t="shared" si="16"/>
        <v>-6.3919586400541073E-2</v>
      </c>
      <c r="F261" s="1">
        <f t="shared" si="17"/>
        <v>4.3556181525530091E-2</v>
      </c>
    </row>
    <row r="262" spans="1:6" x14ac:dyDescent="0.35">
      <c r="A262" s="2">
        <v>44631</v>
      </c>
      <c r="B262">
        <v>-6.9549599774975501E-3</v>
      </c>
      <c r="C262">
        <f t="shared" si="18"/>
        <v>10362.982900487499</v>
      </c>
      <c r="D262">
        <f t="shared" si="19"/>
        <v>11148.146744282369</v>
      </c>
      <c r="E262">
        <f t="shared" si="16"/>
        <v>-7.042998821284463E-2</v>
      </c>
      <c r="F262" s="1">
        <f t="shared" si="17"/>
        <v>3.6298290048749848E-2</v>
      </c>
    </row>
    <row r="263" spans="1:6" x14ac:dyDescent="0.35">
      <c r="A263" s="2">
        <v>44634</v>
      </c>
      <c r="B263">
        <v>-1.4705717204781711E-2</v>
      </c>
      <c r="C263">
        <f t="shared" si="18"/>
        <v>10210.587804554942</v>
      </c>
      <c r="D263">
        <f t="shared" si="19"/>
        <v>11148.146744282369</v>
      </c>
      <c r="E263">
        <f t="shared" si="16"/>
        <v>-8.4099981928232093E-2</v>
      </c>
      <c r="F263" s="1">
        <f t="shared" si="17"/>
        <v>2.1058780455494253E-2</v>
      </c>
    </row>
    <row r="264" spans="1:6" x14ac:dyDescent="0.35">
      <c r="A264" s="2">
        <v>44635</v>
      </c>
      <c r="B264">
        <v>4.7349021495007252E-3</v>
      </c>
      <c r="C264">
        <f t="shared" si="18"/>
        <v>10258.933938698394</v>
      </c>
      <c r="D264">
        <f t="shared" si="19"/>
        <v>11148.146744282369</v>
      </c>
      <c r="E264">
        <f t="shared" si="16"/>
        <v>-7.9763284963936476E-2</v>
      </c>
      <c r="F264" s="1">
        <f t="shared" si="17"/>
        <v>2.5893393869839354E-2</v>
      </c>
    </row>
    <row r="265" spans="1:6" x14ac:dyDescent="0.35">
      <c r="A265" s="2">
        <v>44636</v>
      </c>
      <c r="B265">
        <v>2.0645250687607902E-2</v>
      </c>
      <c r="C265">
        <f t="shared" si="18"/>
        <v>10470.732201650429</v>
      </c>
      <c r="D265">
        <f t="shared" si="19"/>
        <v>11148.146744282369</v>
      </c>
      <c r="E265">
        <f t="shared" si="16"/>
        <v>-6.0764767290076294E-2</v>
      </c>
      <c r="F265" s="1">
        <f t="shared" si="17"/>
        <v>4.7073220165043006E-2</v>
      </c>
    </row>
    <row r="266" spans="1:6" x14ac:dyDescent="0.35">
      <c r="A266" s="2">
        <v>44637</v>
      </c>
      <c r="B266">
        <v>9.9360796898956497E-3</v>
      </c>
      <c r="C266">
        <f t="shared" si="18"/>
        <v>10574.770231217586</v>
      </c>
      <c r="D266">
        <f t="shared" si="19"/>
        <v>11148.146744282369</v>
      </c>
      <c r="E266">
        <f t="shared" si="16"/>
        <v>-5.1432451170312588E-2</v>
      </c>
      <c r="F266" s="1">
        <f t="shared" si="17"/>
        <v>5.7477023121758508E-2</v>
      </c>
    </row>
    <row r="267" spans="1:6" x14ac:dyDescent="0.35">
      <c r="A267" s="2">
        <v>44638</v>
      </c>
      <c r="B267">
        <v>6.8582279600177083E-3</v>
      </c>
      <c r="C267">
        <f t="shared" si="18"/>
        <v>10647.294416088087</v>
      </c>
      <c r="D267">
        <f t="shared" si="19"/>
        <v>11148.146744282369</v>
      </c>
      <c r="E267">
        <f t="shared" si="16"/>
        <v>-4.4926958684963214E-2</v>
      </c>
      <c r="F267" s="1">
        <f t="shared" si="17"/>
        <v>6.4729441608808669E-2</v>
      </c>
    </row>
    <row r="268" spans="1:6" x14ac:dyDescent="0.35">
      <c r="A268" s="2">
        <v>44641</v>
      </c>
      <c r="B268">
        <v>-4.6832790650880333E-3</v>
      </c>
      <c r="C268">
        <f t="shared" si="18"/>
        <v>10597.430165049393</v>
      </c>
      <c r="D268">
        <f t="shared" si="19"/>
        <v>11148.146744282369</v>
      </c>
      <c r="E268">
        <f t="shared" si="16"/>
        <v>-4.9399832264984012E-2</v>
      </c>
      <c r="F268" s="1">
        <f t="shared" si="17"/>
        <v>5.9743016504939295E-2</v>
      </c>
    </row>
    <row r="269" spans="1:6" x14ac:dyDescent="0.35">
      <c r="A269" s="2">
        <v>44642</v>
      </c>
      <c r="B269">
        <v>3.8683806972278829E-3</v>
      </c>
      <c r="C269">
        <f t="shared" si="18"/>
        <v>10638.42505934009</v>
      </c>
      <c r="D269">
        <f t="shared" si="19"/>
        <v>11148.146744282369</v>
      </c>
      <c r="E269">
        <f t="shared" si="16"/>
        <v>-4.5722548925336226E-2</v>
      </c>
      <c r="F269" s="1">
        <f t="shared" si="17"/>
        <v>6.3842505934009086E-2</v>
      </c>
    </row>
    <row r="270" spans="1:6" x14ac:dyDescent="0.35">
      <c r="A270" s="2">
        <v>44643</v>
      </c>
      <c r="B270">
        <v>-7.1524947968780786E-4</v>
      </c>
      <c r="C270">
        <f t="shared" si="18"/>
        <v>10630.815931351699</v>
      </c>
      <c r="D270">
        <f t="shared" si="19"/>
        <v>11148.146744282369</v>
      </c>
      <c r="E270">
        <f t="shared" si="16"/>
        <v>-4.640509537569526E-2</v>
      </c>
      <c r="F270" s="1">
        <f t="shared" si="17"/>
        <v>6.3081593135169811E-2</v>
      </c>
    </row>
    <row r="271" spans="1:6" x14ac:dyDescent="0.35">
      <c r="A271" s="2">
        <v>44644</v>
      </c>
      <c r="B271">
        <v>4.6828802875904744E-3</v>
      </c>
      <c r="C271">
        <f t="shared" si="18"/>
        <v>10680.598769717628</v>
      </c>
      <c r="D271">
        <f t="shared" si="19"/>
        <v>11148.146744282369</v>
      </c>
      <c r="E271">
        <f t="shared" si="16"/>
        <v>-4.1939524594483468E-2</v>
      </c>
      <c r="F271" s="1">
        <f t="shared" si="17"/>
        <v>6.8059876971762856E-2</v>
      </c>
    </row>
    <row r="272" spans="1:6" x14ac:dyDescent="0.35">
      <c r="A272" s="2">
        <v>44645</v>
      </c>
      <c r="B272">
        <v>-2.1172754220888752E-3</v>
      </c>
      <c r="C272">
        <f t="shared" si="18"/>
        <v>10657.985000449313</v>
      </c>
      <c r="D272">
        <f t="shared" si="19"/>
        <v>11148.146744282369</v>
      </c>
      <c r="E272">
        <f t="shared" si="16"/>
        <v>-4.3968002491934222E-2</v>
      </c>
      <c r="F272" s="1">
        <f t="shared" si="17"/>
        <v>6.5798500044931263E-2</v>
      </c>
    </row>
    <row r="273" spans="1:6" x14ac:dyDescent="0.35">
      <c r="A273" s="2">
        <v>44648</v>
      </c>
      <c r="B273">
        <v>-4.496189568030497E-4</v>
      </c>
      <c r="C273">
        <f t="shared" si="18"/>
        <v>10653.192968351788</v>
      </c>
      <c r="D273">
        <f t="shared" si="19"/>
        <v>11148.146744282369</v>
      </c>
      <c r="E273">
        <f t="shared" si="16"/>
        <v>-4.4397852601324117E-2</v>
      </c>
      <c r="F273" s="1">
        <f t="shared" si="17"/>
        <v>6.5319296835178786E-2</v>
      </c>
    </row>
    <row r="274" spans="1:6" x14ac:dyDescent="0.35">
      <c r="A274" s="2">
        <v>44649</v>
      </c>
      <c r="B274">
        <v>1.3541417420733001E-2</v>
      </c>
      <c r="C274">
        <f t="shared" si="18"/>
        <v>10797.452301199857</v>
      </c>
      <c r="D274">
        <f t="shared" si="19"/>
        <v>11148.146744282369</v>
      </c>
      <c r="E274">
        <f t="shared" si="16"/>
        <v>-3.1457645035249837E-2</v>
      </c>
      <c r="F274" s="1">
        <f t="shared" si="17"/>
        <v>7.9745230119985688E-2</v>
      </c>
    </row>
    <row r="275" spans="1:6" x14ac:dyDescent="0.35">
      <c r="A275" s="2">
        <v>44650</v>
      </c>
      <c r="B275">
        <v>-1.199837350870775E-3</v>
      </c>
      <c r="C275">
        <f t="shared" si="18"/>
        <v>10784.497114634632</v>
      </c>
      <c r="D275">
        <f t="shared" si="19"/>
        <v>11148.146744282369</v>
      </c>
      <c r="E275">
        <f t="shared" si="16"/>
        <v>-3.2619738328636849E-2</v>
      </c>
      <c r="F275" s="1">
        <f t="shared" si="17"/>
        <v>7.8449711463463245E-2</v>
      </c>
    </row>
    <row r="276" spans="1:6" x14ac:dyDescent="0.35">
      <c r="A276" s="2">
        <v>44651</v>
      </c>
      <c r="B276">
        <v>-8.4911539293792658E-3</v>
      </c>
      <c r="C276">
        <f t="shared" si="18"/>
        <v>10692.924289583323</v>
      </c>
      <c r="D276">
        <f t="shared" si="19"/>
        <v>11148.146744282369</v>
      </c>
      <c r="E276">
        <f t="shared" si="16"/>
        <v>-4.0833913038731628E-2</v>
      </c>
      <c r="F276" s="1">
        <f t="shared" si="17"/>
        <v>6.9292428958332319E-2</v>
      </c>
    </row>
    <row r="277" spans="1:6" x14ac:dyDescent="0.35">
      <c r="A277" s="2">
        <v>44652</v>
      </c>
      <c r="B277">
        <v>4.8605723457669052E-3</v>
      </c>
      <c r="C277">
        <f t="shared" si="18"/>
        <v>10744.89802168065</v>
      </c>
      <c r="D277">
        <f t="shared" si="19"/>
        <v>11148.146744282369</v>
      </c>
      <c r="E277">
        <f t="shared" si="16"/>
        <v>-3.6171816881450325E-2</v>
      </c>
      <c r="F277" s="1">
        <f t="shared" si="17"/>
        <v>7.4489802168065111E-2</v>
      </c>
    </row>
    <row r="278" spans="1:6" x14ac:dyDescent="0.35">
      <c r="A278" s="2">
        <v>44655</v>
      </c>
      <c r="B278">
        <v>6.243987898444249E-3</v>
      </c>
      <c r="C278">
        <f t="shared" si="18"/>
        <v>10811.989034898041</v>
      </c>
      <c r="D278">
        <f t="shared" si="19"/>
        <v>11148.146744282369</v>
      </c>
      <c r="E278">
        <f t="shared" si="16"/>
        <v>-3.0153685369878724E-2</v>
      </c>
      <c r="F278" s="1">
        <f t="shared" si="17"/>
        <v>8.1198903489803964E-2</v>
      </c>
    </row>
    <row r="279" spans="1:6" x14ac:dyDescent="0.35">
      <c r="A279" s="2">
        <v>44656</v>
      </c>
      <c r="B279">
        <v>-1.4571288647423341E-2</v>
      </c>
      <c r="C279">
        <f t="shared" si="18"/>
        <v>10654.444421817765</v>
      </c>
      <c r="D279">
        <f t="shared" si="19"/>
        <v>11148.146744282369</v>
      </c>
      <c r="E279">
        <f t="shared" si="16"/>
        <v>-4.4285595963993951E-2</v>
      </c>
      <c r="F279" s="1">
        <f t="shared" si="17"/>
        <v>6.5444442181776585E-2</v>
      </c>
    </row>
    <row r="280" spans="1:6" x14ac:dyDescent="0.35">
      <c r="A280" s="2">
        <v>44657</v>
      </c>
      <c r="B280">
        <v>-7.4970148453731332E-3</v>
      </c>
      <c r="C280">
        <f t="shared" si="18"/>
        <v>10574.567893818194</v>
      </c>
      <c r="D280">
        <f t="shared" si="19"/>
        <v>11148.146744282369</v>
      </c>
      <c r="E280">
        <f t="shared" si="16"/>
        <v>-5.1450601038988908E-2</v>
      </c>
      <c r="F280" s="1">
        <f t="shared" si="17"/>
        <v>5.7456789381819418E-2</v>
      </c>
    </row>
    <row r="281" spans="1:6" x14ac:dyDescent="0.35">
      <c r="A281" s="2">
        <v>44658</v>
      </c>
      <c r="B281">
        <v>-1.7139386392048921E-3</v>
      </c>
      <c r="C281">
        <f t="shared" si="18"/>
        <v>10556.443733312084</v>
      </c>
      <c r="D281">
        <f t="shared" si="19"/>
        <v>11148.146744282369</v>
      </c>
      <c r="E281">
        <f t="shared" si="16"/>
        <v>-5.3076356505062705E-2</v>
      </c>
      <c r="F281" s="1">
        <f t="shared" si="17"/>
        <v>5.5644373331208419E-2</v>
      </c>
    </row>
    <row r="282" spans="1:6" x14ac:dyDescent="0.35">
      <c r="A282" s="2">
        <v>44659</v>
      </c>
      <c r="B282">
        <v>-2.7287264080478081E-3</v>
      </c>
      <c r="C282">
        <f t="shared" si="18"/>
        <v>10527.638086521925</v>
      </c>
      <c r="D282">
        <f t="shared" si="19"/>
        <v>11148.146744282369</v>
      </c>
      <c r="E282">
        <f t="shared" si="16"/>
        <v>-5.5660252057472048E-2</v>
      </c>
      <c r="F282" s="1">
        <f t="shared" si="17"/>
        <v>5.2763808652192434E-2</v>
      </c>
    </row>
    <row r="283" spans="1:6" x14ac:dyDescent="0.35">
      <c r="A283" s="2">
        <v>44662</v>
      </c>
      <c r="B283">
        <v>-1.014416253716627E-2</v>
      </c>
      <c r="C283">
        <f t="shared" si="18"/>
        <v>10420.844014639784</v>
      </c>
      <c r="D283">
        <f t="shared" si="19"/>
        <v>11148.146744282369</v>
      </c>
      <c r="E283">
        <f t="shared" si="16"/>
        <v>-6.523978795090779E-2</v>
      </c>
      <c r="F283" s="1">
        <f t="shared" si="17"/>
        <v>4.2084401463978516E-2</v>
      </c>
    </row>
    <row r="284" spans="1:6" x14ac:dyDescent="0.35">
      <c r="A284" s="2">
        <v>44663</v>
      </c>
      <c r="B284">
        <v>2.6987773828279658E-3</v>
      </c>
      <c r="C284">
        <f t="shared" si="18"/>
        <v>10448.967552776472</v>
      </c>
      <c r="D284">
        <f t="shared" si="19"/>
        <v>11148.146744282369</v>
      </c>
      <c r="E284">
        <f t="shared" si="16"/>
        <v>-6.2717078232262247E-2</v>
      </c>
      <c r="F284" s="1">
        <f t="shared" si="17"/>
        <v>4.4896755277647138E-2</v>
      </c>
    </row>
    <row r="285" spans="1:6" x14ac:dyDescent="0.35">
      <c r="A285" s="2">
        <v>44664</v>
      </c>
      <c r="B285">
        <v>1.0327590520478949E-2</v>
      </c>
      <c r="C285">
        <f t="shared" si="18"/>
        <v>10556.880211023319</v>
      </c>
      <c r="D285">
        <f t="shared" si="19"/>
        <v>11148.146744282369</v>
      </c>
      <c r="E285">
        <f t="shared" si="16"/>
        <v>-5.3037204014406814E-2</v>
      </c>
      <c r="F285" s="1">
        <f t="shared" si="17"/>
        <v>5.5688021102331842E-2</v>
      </c>
    </row>
    <row r="286" spans="1:6" x14ac:dyDescent="0.35">
      <c r="A286" s="2">
        <v>44665</v>
      </c>
      <c r="B286">
        <v>-9.1659813736990232E-3</v>
      </c>
      <c r="C286">
        <f t="shared" si="18"/>
        <v>10460.116043644708</v>
      </c>
      <c r="D286">
        <f t="shared" si="19"/>
        <v>11148.146744282369</v>
      </c>
      <c r="E286">
        <f t="shared" si="16"/>
        <v>-6.1717047363996747E-2</v>
      </c>
      <c r="F286" s="1">
        <f t="shared" si="17"/>
        <v>4.6011604364470715E-2</v>
      </c>
    </row>
    <row r="287" spans="1:6" x14ac:dyDescent="0.35">
      <c r="A287" s="2">
        <v>44669</v>
      </c>
      <c r="B287">
        <v>-1.788136736344075E-3</v>
      </c>
      <c r="C287">
        <f t="shared" si="18"/>
        <v>10441.411925880646</v>
      </c>
      <c r="D287">
        <f t="shared" si="19"/>
        <v>11148.146744282369</v>
      </c>
      <c r="E287">
        <f t="shared" si="16"/>
        <v>-6.3394825580690428E-2</v>
      </c>
      <c r="F287" s="1">
        <f t="shared" si="17"/>
        <v>4.4141192588064593E-2</v>
      </c>
    </row>
    <row r="288" spans="1:6" x14ac:dyDescent="0.35">
      <c r="A288" s="2">
        <v>44670</v>
      </c>
      <c r="B288">
        <v>1.356312754192134E-3</v>
      </c>
      <c r="C288">
        <f t="shared" si="18"/>
        <v>10455.573746047492</v>
      </c>
      <c r="D288">
        <f t="shared" si="19"/>
        <v>11148.146744282369</v>
      </c>
      <c r="E288">
        <f t="shared" si="16"/>
        <v>-6.2124496036983112E-2</v>
      </c>
      <c r="F288" s="1">
        <f t="shared" si="17"/>
        <v>4.555737460474929E-2</v>
      </c>
    </row>
    <row r="289" spans="1:6" x14ac:dyDescent="0.35">
      <c r="A289" s="2">
        <v>44671</v>
      </c>
      <c r="B289">
        <v>4.4408327632887079E-3</v>
      </c>
      <c r="C289">
        <f t="shared" si="18"/>
        <v>10502.005200497922</v>
      </c>
      <c r="D289">
        <f t="shared" si="19"/>
        <v>11148.146744282369</v>
      </c>
      <c r="E289">
        <f t="shared" si="16"/>
        <v>-5.795954777109813E-2</v>
      </c>
      <c r="F289" s="1">
        <f t="shared" si="17"/>
        <v>5.0200520049792141E-2</v>
      </c>
    </row>
    <row r="290" spans="1:6" x14ac:dyDescent="0.35">
      <c r="A290" s="2">
        <v>44672</v>
      </c>
      <c r="B290">
        <v>-1.086690745454242E-2</v>
      </c>
      <c r="C290">
        <f t="shared" si="18"/>
        <v>10387.880881896988</v>
      </c>
      <c r="D290">
        <f t="shared" si="19"/>
        <v>11148.146744282369</v>
      </c>
      <c r="E290">
        <f t="shared" si="16"/>
        <v>-6.819661418390488E-2</v>
      </c>
      <c r="F290" s="1">
        <f t="shared" si="17"/>
        <v>3.8788088189698922E-2</v>
      </c>
    </row>
    <row r="291" spans="1:6" x14ac:dyDescent="0.35">
      <c r="A291" s="2">
        <v>44673</v>
      </c>
      <c r="B291">
        <v>-1.367604397032908E-2</v>
      </c>
      <c r="C291">
        <f t="shared" si="18"/>
        <v>10245.815766197624</v>
      </c>
      <c r="D291">
        <f t="shared" si="19"/>
        <v>11148.146744282369</v>
      </c>
      <c r="E291">
        <f t="shared" si="16"/>
        <v>-8.0939998260027401E-2</v>
      </c>
      <c r="F291" s="1">
        <f t="shared" si="17"/>
        <v>2.4581576619762346E-2</v>
      </c>
    </row>
    <row r="292" spans="1:6" x14ac:dyDescent="0.35">
      <c r="A292" s="2">
        <v>44676</v>
      </c>
      <c r="B292">
        <v>1.722815472895033E-3</v>
      </c>
      <c r="C292">
        <f t="shared" si="18"/>
        <v>10263.46741613206</v>
      </c>
      <c r="D292">
        <f t="shared" si="19"/>
        <v>11148.146744282369</v>
      </c>
      <c r="E292">
        <f t="shared" si="16"/>
        <v>-7.935662746851091E-2</v>
      </c>
      <c r="F292" s="1">
        <f t="shared" si="17"/>
        <v>2.6346741613205937E-2</v>
      </c>
    </row>
    <row r="293" spans="1:6" x14ac:dyDescent="0.35">
      <c r="A293" s="2">
        <v>44677</v>
      </c>
      <c r="B293">
        <v>-1.157425263872622E-2</v>
      </c>
      <c r="C293">
        <f t="shared" si="18"/>
        <v>10144.675451308412</v>
      </c>
      <c r="D293">
        <f t="shared" si="19"/>
        <v>11148.146744282369</v>
      </c>
      <c r="E293">
        <f t="shared" si="16"/>
        <v>-9.0012386452359316E-2</v>
      </c>
      <c r="F293" s="1">
        <f t="shared" si="17"/>
        <v>1.4467545130841142E-2</v>
      </c>
    </row>
    <row r="294" spans="1:6" x14ac:dyDescent="0.35">
      <c r="A294" s="2">
        <v>44678</v>
      </c>
      <c r="B294">
        <v>-2.2023151928697248E-3</v>
      </c>
      <c r="C294">
        <f t="shared" si="18"/>
        <v>10122.333678435263</v>
      </c>
      <c r="D294">
        <f t="shared" si="19"/>
        <v>11148.146744282369</v>
      </c>
      <c r="E294">
        <f t="shared" si="16"/>
        <v>-9.2016465998998598E-2</v>
      </c>
      <c r="F294" s="1">
        <f t="shared" si="17"/>
        <v>1.2233367843526244E-2</v>
      </c>
    </row>
    <row r="295" spans="1:6" x14ac:dyDescent="0.35">
      <c r="A295" s="2">
        <v>44679</v>
      </c>
      <c r="B295">
        <v>1.239953951740734E-2</v>
      </c>
      <c r="C295">
        <f t="shared" si="18"/>
        <v>10247.845954889404</v>
      </c>
      <c r="D295">
        <f t="shared" si="19"/>
        <v>11148.146744282369</v>
      </c>
      <c r="E295">
        <f t="shared" si="16"/>
        <v>-8.0757888287998014E-2</v>
      </c>
      <c r="F295" s="1">
        <f t="shared" si="17"/>
        <v>2.478459548894052E-2</v>
      </c>
    </row>
    <row r="296" spans="1:6" x14ac:dyDescent="0.35">
      <c r="A296" s="2">
        <v>44680</v>
      </c>
      <c r="B296">
        <v>-1.7850794288697808E-2</v>
      </c>
      <c r="C296">
        <f t="shared" si="18"/>
        <v>10064.913764846409</v>
      </c>
      <c r="D296">
        <f t="shared" si="19"/>
        <v>11148.146744282369</v>
      </c>
      <c r="E296">
        <f t="shared" si="16"/>
        <v>-9.7167090125677147E-2</v>
      </c>
      <c r="F296" s="1">
        <f t="shared" si="17"/>
        <v>6.4913764846410427E-3</v>
      </c>
    </row>
    <row r="297" spans="1:6" x14ac:dyDescent="0.35">
      <c r="A297" s="2">
        <v>44683</v>
      </c>
      <c r="B297">
        <v>-2.3974624459138301E-3</v>
      </c>
      <c r="C297">
        <f t="shared" si="18"/>
        <v>10040.783512073829</v>
      </c>
      <c r="D297">
        <f t="shared" si="19"/>
        <v>11148.146744282369</v>
      </c>
      <c r="E297">
        <f t="shared" si="16"/>
        <v>-9.9331598122035958E-2</v>
      </c>
      <c r="F297" s="1">
        <f t="shared" si="17"/>
        <v>4.0783512073829797E-3</v>
      </c>
    </row>
    <row r="298" spans="1:6" x14ac:dyDescent="0.35">
      <c r="A298" s="2">
        <v>44684</v>
      </c>
      <c r="B298">
        <v>4.142697917303333E-3</v>
      </c>
      <c r="C298">
        <f t="shared" si="18"/>
        <v>10082.379445017392</v>
      </c>
      <c r="D298">
        <f t="shared" si="19"/>
        <v>11148.146744282369</v>
      </c>
      <c r="E298">
        <f t="shared" si="16"/>
        <v>-9.5600401009395153E-2</v>
      </c>
      <c r="F298" s="1">
        <f t="shared" si="17"/>
        <v>8.2379445017390918E-3</v>
      </c>
    </row>
    <row r="299" spans="1:6" x14ac:dyDescent="0.35">
      <c r="A299" s="2">
        <v>44685</v>
      </c>
      <c r="B299">
        <v>1.6978168886467838E-2</v>
      </c>
      <c r="C299">
        <f t="shared" si="18"/>
        <v>10253.559786012349</v>
      </c>
      <c r="D299">
        <f t="shared" si="19"/>
        <v>11148.146744282369</v>
      </c>
      <c r="E299">
        <f t="shared" si="16"/>
        <v>-8.0245351876878868E-2</v>
      </c>
      <c r="F299" s="1">
        <f t="shared" si="17"/>
        <v>2.5355978601234952E-2</v>
      </c>
    </row>
    <row r="300" spans="1:6" x14ac:dyDescent="0.35">
      <c r="A300" s="2">
        <v>44686</v>
      </c>
      <c r="B300">
        <v>-2.5152824276436461E-2</v>
      </c>
      <c r="C300">
        <f t="shared" si="18"/>
        <v>9995.6537985068444</v>
      </c>
      <c r="D300">
        <f t="shared" si="19"/>
        <v>11148.146744282369</v>
      </c>
      <c r="E300">
        <f t="shared" si="16"/>
        <v>-0.10337977891855543</v>
      </c>
      <c r="F300" s="1">
        <f t="shared" si="17"/>
        <v>-4.346201493156121E-4</v>
      </c>
    </row>
    <row r="301" spans="1:6" x14ac:dyDescent="0.35">
      <c r="A301" s="2">
        <v>44687</v>
      </c>
      <c r="B301">
        <v>-8.4811712073217492E-3</v>
      </c>
      <c r="C301">
        <f t="shared" si="18"/>
        <v>9910.8789473125926</v>
      </c>
      <c r="D301">
        <f t="shared" si="19"/>
        <v>11148.146744282369</v>
      </c>
      <c r="E301">
        <f t="shared" si="16"/>
        <v>-0.11098416852149373</v>
      </c>
      <c r="F301" s="1">
        <f t="shared" si="17"/>
        <v>-8.9121052687407554E-3</v>
      </c>
    </row>
    <row r="302" spans="1:6" x14ac:dyDescent="0.35">
      <c r="A302" s="2">
        <v>44690</v>
      </c>
      <c r="B302">
        <v>-2.223331628346922E-2</v>
      </c>
      <c r="C302">
        <f t="shared" si="18"/>
        <v>9690.5272410298148</v>
      </c>
      <c r="D302">
        <f t="shared" si="19"/>
        <v>11148.146744282369</v>
      </c>
      <c r="E302">
        <f t="shared" si="16"/>
        <v>-0.13074993868376672</v>
      </c>
      <c r="F302" s="1">
        <f t="shared" si="17"/>
        <v>-3.0947275897018511E-2</v>
      </c>
    </row>
    <row r="303" spans="1:6" x14ac:dyDescent="0.35">
      <c r="A303" s="2">
        <v>44691</v>
      </c>
      <c r="B303">
        <v>1.401228184751617E-3</v>
      </c>
      <c r="C303">
        <f t="shared" si="18"/>
        <v>9704.105880925048</v>
      </c>
      <c r="D303">
        <f t="shared" si="19"/>
        <v>11148.146744282369</v>
      </c>
      <c r="E303">
        <f t="shared" si="16"/>
        <v>-0.1295319209982535</v>
      </c>
      <c r="F303" s="1">
        <f t="shared" si="17"/>
        <v>-2.95894119074952E-2</v>
      </c>
    </row>
    <row r="304" spans="1:6" x14ac:dyDescent="0.35">
      <c r="A304" s="2">
        <v>44692</v>
      </c>
      <c r="B304">
        <v>-2.3841712816780251E-3</v>
      </c>
      <c r="C304">
        <f t="shared" si="18"/>
        <v>9680.9696303693836</v>
      </c>
      <c r="D304">
        <f t="shared" si="19"/>
        <v>11148.146744282369</v>
      </c>
      <c r="E304">
        <f t="shared" si="16"/>
        <v>-0.13160726599382688</v>
      </c>
      <c r="F304" s="1">
        <f t="shared" si="17"/>
        <v>-3.1903036963061626E-2</v>
      </c>
    </row>
    <row r="305" spans="1:6" x14ac:dyDescent="0.35">
      <c r="A305" s="2">
        <v>44693</v>
      </c>
      <c r="B305">
        <v>-1.6664929988815009E-4</v>
      </c>
      <c r="C305">
        <f t="shared" si="18"/>
        <v>9679.3563035582429</v>
      </c>
      <c r="D305">
        <f t="shared" si="19"/>
        <v>11148.146744282369</v>
      </c>
      <c r="E305">
        <f t="shared" si="16"/>
        <v>-0.13175198303497715</v>
      </c>
      <c r="F305" s="1">
        <f t="shared" si="17"/>
        <v>-3.2064369644175694E-2</v>
      </c>
    </row>
    <row r="306" spans="1:6" x14ac:dyDescent="0.35">
      <c r="A306" s="2">
        <v>44694</v>
      </c>
      <c r="B306">
        <v>1.300298333457661E-2</v>
      </c>
      <c r="C306">
        <f t="shared" si="18"/>
        <v>9805.2168122628391</v>
      </c>
      <c r="D306">
        <f t="shared" si="19"/>
        <v>11148.146744282369</v>
      </c>
      <c r="E306">
        <f t="shared" si="16"/>
        <v>-0.12046216854010172</v>
      </c>
      <c r="F306" s="1">
        <f t="shared" si="17"/>
        <v>-1.9478318773716086E-2</v>
      </c>
    </row>
    <row r="307" spans="1:6" x14ac:dyDescent="0.35">
      <c r="A307" s="2">
        <v>44697</v>
      </c>
      <c r="B307">
        <v>-6.3738016267416917E-5</v>
      </c>
      <c r="C307">
        <f t="shared" si="18"/>
        <v>9804.5918471941532</v>
      </c>
      <c r="D307">
        <f t="shared" si="19"/>
        <v>11148.146744282369</v>
      </c>
      <c r="E307">
        <f t="shared" si="16"/>
        <v>-0.12051822853671124</v>
      </c>
      <c r="F307" s="1">
        <f t="shared" si="17"/>
        <v>-1.9540815280584711E-2</v>
      </c>
    </row>
    <row r="308" spans="1:6" x14ac:dyDescent="0.35">
      <c r="A308" s="2">
        <v>44698</v>
      </c>
      <c r="B308">
        <v>7.5346921121223409E-3</v>
      </c>
      <c r="C308">
        <f t="shared" si="18"/>
        <v>9878.4664280477864</v>
      </c>
      <c r="D308">
        <f t="shared" si="19"/>
        <v>11148.146744282369</v>
      </c>
      <c r="E308">
        <f t="shared" si="16"/>
        <v>-0.11389160417051136</v>
      </c>
      <c r="F308" s="1">
        <f t="shared" si="17"/>
        <v>-1.215335719522137E-2</v>
      </c>
    </row>
    <row r="309" spans="1:6" x14ac:dyDescent="0.35">
      <c r="A309" s="2">
        <v>44699</v>
      </c>
      <c r="B309">
        <v>-1.6540998242051051E-2</v>
      </c>
      <c r="C309">
        <f t="shared" si="18"/>
        <v>9715.0667322272875</v>
      </c>
      <c r="D309">
        <f t="shared" si="19"/>
        <v>11148.146744282369</v>
      </c>
      <c r="E309">
        <f t="shared" si="16"/>
        <v>-0.12854872158819364</v>
      </c>
      <c r="F309" s="1">
        <f t="shared" si="17"/>
        <v>-2.8493326777271233E-2</v>
      </c>
    </row>
    <row r="310" spans="1:6" x14ac:dyDescent="0.35">
      <c r="A310" s="2">
        <v>44700</v>
      </c>
      <c r="B310">
        <v>4.4977559946815576E-3</v>
      </c>
      <c r="C310">
        <f t="shared" si="18"/>
        <v>9758.7627318608938</v>
      </c>
      <c r="D310">
        <f t="shared" si="19"/>
        <v>11148.146744282369</v>
      </c>
      <c r="E310">
        <f t="shared" si="16"/>
        <v>-0.12462914637664402</v>
      </c>
      <c r="F310" s="1">
        <f t="shared" si="17"/>
        <v>-2.4123726813910618E-2</v>
      </c>
    </row>
    <row r="311" spans="1:6" x14ac:dyDescent="0.35">
      <c r="A311" s="2">
        <v>44701</v>
      </c>
      <c r="B311">
        <v>2.8765444242530159E-3</v>
      </c>
      <c r="C311">
        <f t="shared" si="18"/>
        <v>9786.8342463848367</v>
      </c>
      <c r="D311">
        <f t="shared" si="19"/>
        <v>11148.146744282369</v>
      </c>
      <c r="E311">
        <f t="shared" si="16"/>
        <v>-0.12211110322850016</v>
      </c>
      <c r="F311" s="1">
        <f t="shared" si="17"/>
        <v>-2.1316575361516321E-2</v>
      </c>
    </row>
    <row r="312" spans="1:6" x14ac:dyDescent="0.35">
      <c r="A312" s="2">
        <v>44704</v>
      </c>
      <c r="B312">
        <v>6.128639347971334E-3</v>
      </c>
      <c r="C312">
        <f t="shared" si="18"/>
        <v>9846.8142238393048</v>
      </c>
      <c r="D312">
        <f t="shared" si="19"/>
        <v>11148.146744282369</v>
      </c>
      <c r="E312">
        <f t="shared" si="16"/>
        <v>-0.11673083879259916</v>
      </c>
      <c r="F312" s="1">
        <f t="shared" si="17"/>
        <v>-1.5318577616069473E-2</v>
      </c>
    </row>
    <row r="313" spans="1:6" x14ac:dyDescent="0.35">
      <c r="A313" s="2">
        <v>44705</v>
      </c>
      <c r="B313">
        <v>4.1299474289248919E-6</v>
      </c>
      <c r="C313">
        <f t="shared" si="18"/>
        <v>9846.8548906643919</v>
      </c>
      <c r="D313">
        <f t="shared" si="19"/>
        <v>11148.146744282369</v>
      </c>
      <c r="E313">
        <f t="shared" si="16"/>
        <v>-0.1167271909373977</v>
      </c>
      <c r="F313" s="1">
        <f t="shared" si="17"/>
        <v>-1.5314510933560843E-2</v>
      </c>
    </row>
    <row r="314" spans="1:6" x14ac:dyDescent="0.35">
      <c r="A314" s="2">
        <v>44706</v>
      </c>
      <c r="B314">
        <v>7.2511710284463658E-3</v>
      </c>
      <c r="C314">
        <f t="shared" si="18"/>
        <v>9918.2561195688941</v>
      </c>
      <c r="D314">
        <f t="shared" si="19"/>
        <v>11148.146744282369</v>
      </c>
      <c r="E314">
        <f t="shared" si="16"/>
        <v>-0.11032242873410847</v>
      </c>
      <c r="F314" s="1">
        <f t="shared" si="17"/>
        <v>-8.1743880431105476E-3</v>
      </c>
    </row>
    <row r="315" spans="1:6" x14ac:dyDescent="0.35">
      <c r="A315" s="2">
        <v>44707</v>
      </c>
      <c r="B315">
        <v>9.6806508591222151E-3</v>
      </c>
      <c r="C315">
        <f t="shared" si="18"/>
        <v>10014.271294193793</v>
      </c>
      <c r="D315">
        <f t="shared" si="19"/>
        <v>11148.146744282369</v>
      </c>
      <c r="E315">
        <f t="shared" si="16"/>
        <v>-0.1017097707894915</v>
      </c>
      <c r="F315" s="1">
        <f t="shared" si="17"/>
        <v>1.4271294193792805E-3</v>
      </c>
    </row>
    <row r="316" spans="1:6" x14ac:dyDescent="0.35">
      <c r="A316" s="2">
        <v>44708</v>
      </c>
      <c r="B316">
        <v>1.374864559158618E-2</v>
      </c>
      <c r="C316">
        <f t="shared" si="18"/>
        <v>10151.95396107566</v>
      </c>
      <c r="D316">
        <f t="shared" si="19"/>
        <v>11148.146744282369</v>
      </c>
      <c r="E316">
        <f t="shared" si="16"/>
        <v>-8.9359496789691351E-2</v>
      </c>
      <c r="F316" s="1">
        <f t="shared" si="17"/>
        <v>1.5195396107565928E-2</v>
      </c>
    </row>
    <row r="317" spans="1:6" x14ac:dyDescent="0.35">
      <c r="A317" s="2">
        <v>44712</v>
      </c>
      <c r="B317">
        <v>-7.437093162627942E-3</v>
      </c>
      <c r="C317">
        <f t="shared" si="18"/>
        <v>10076.45293368443</v>
      </c>
      <c r="D317">
        <f t="shared" si="19"/>
        <v>11148.146744282369</v>
      </c>
      <c r="E317">
        <f t="shared" si="16"/>
        <v>-9.6132015049728903E-2</v>
      </c>
      <c r="F317" s="1">
        <f t="shared" si="17"/>
        <v>7.6452933684429958E-3</v>
      </c>
    </row>
    <row r="318" spans="1:6" x14ac:dyDescent="0.35">
      <c r="A318" s="2">
        <v>44713</v>
      </c>
      <c r="B318">
        <v>-4.3425205942191E-3</v>
      </c>
      <c r="C318">
        <f t="shared" si="18"/>
        <v>10032.695729303225</v>
      </c>
      <c r="D318">
        <f t="shared" si="19"/>
        <v>11148.146744282369</v>
      </c>
      <c r="E318">
        <f t="shared" si="16"/>
        <v>-0.10005708038883088</v>
      </c>
      <c r="F318" s="1">
        <f t="shared" si="17"/>
        <v>3.2695729303224841E-3</v>
      </c>
    </row>
    <row r="319" spans="1:6" x14ac:dyDescent="0.35">
      <c r="A319" s="2">
        <v>44714</v>
      </c>
      <c r="B319">
        <v>1.369475501529311E-2</v>
      </c>
      <c r="C319">
        <f t="shared" si="18"/>
        <v>10170.091039459008</v>
      </c>
      <c r="D319">
        <f t="shared" si="19"/>
        <v>11148.146744282369</v>
      </c>
      <c r="E319">
        <f t="shared" si="16"/>
        <v>-8.7732582577008444E-2</v>
      </c>
      <c r="F319" s="1">
        <f t="shared" si="17"/>
        <v>1.7009103945900828E-2</v>
      </c>
    </row>
    <row r="320" spans="1:6" x14ac:dyDescent="0.35">
      <c r="A320" s="2">
        <v>44715</v>
      </c>
      <c r="B320">
        <v>-9.2276434139927088E-3</v>
      </c>
      <c r="C320">
        <f t="shared" si="18"/>
        <v>10076.245065859037</v>
      </c>
      <c r="D320">
        <f t="shared" si="19"/>
        <v>11148.146744282369</v>
      </c>
      <c r="E320">
        <f t="shared" si="16"/>
        <v>-9.6150661003191917E-2</v>
      </c>
      <c r="F320" s="1">
        <f t="shared" si="17"/>
        <v>7.6245065859037453E-3</v>
      </c>
    </row>
    <row r="321" spans="1:6" x14ac:dyDescent="0.35">
      <c r="A321" s="2">
        <v>44718</v>
      </c>
      <c r="B321">
        <v>-1.9649388095644999E-3</v>
      </c>
      <c r="C321">
        <f t="shared" si="18"/>
        <v>10056.445860874448</v>
      </c>
      <c r="D321">
        <f t="shared" si="19"/>
        <v>11148.146744282369</v>
      </c>
      <c r="E321">
        <f t="shared" si="16"/>
        <v>-9.7926669647385944E-2</v>
      </c>
      <c r="F321" s="1">
        <f t="shared" si="17"/>
        <v>5.6445860874447806E-3</v>
      </c>
    </row>
    <row r="322" spans="1:6" x14ac:dyDescent="0.35">
      <c r="A322" s="2">
        <v>44719</v>
      </c>
      <c r="B322">
        <v>7.4863450698935668E-3</v>
      </c>
      <c r="C322">
        <f t="shared" si="18"/>
        <v>10131.731884765657</v>
      </c>
      <c r="D322">
        <f t="shared" si="19"/>
        <v>11148.146744282369</v>
      </c>
      <c r="E322">
        <f t="shared" si="16"/>
        <v>-9.1173437418018199E-2</v>
      </c>
      <c r="F322" s="1">
        <f t="shared" si="17"/>
        <v>1.3173188476565789E-2</v>
      </c>
    </row>
    <row r="323" spans="1:6" x14ac:dyDescent="0.35">
      <c r="A323" s="2">
        <v>44720</v>
      </c>
      <c r="B323">
        <v>-7.0036310199470073E-3</v>
      </c>
      <c r="C323">
        <f t="shared" si="18"/>
        <v>10060.772973051726</v>
      </c>
      <c r="D323">
        <f t="shared" si="19"/>
        <v>11148.146744282369</v>
      </c>
      <c r="E323">
        <f t="shared" ref="E323:E386" si="20">(C323/D323)-1</f>
        <v>-9.7538523323469239E-2</v>
      </c>
      <c r="F323" s="1">
        <f t="shared" ref="F323:F386" si="21">C323/$C$2-1</f>
        <v>6.0772973051725909E-3</v>
      </c>
    </row>
    <row r="324" spans="1:6" x14ac:dyDescent="0.35">
      <c r="A324" s="2">
        <v>44721</v>
      </c>
      <c r="B324">
        <v>-1.2778843470374579E-2</v>
      </c>
      <c r="C324">
        <f t="shared" ref="C324:C387" si="22">C323*(1+B324)</f>
        <v>9932.2079300381229</v>
      </c>
      <c r="D324">
        <f t="shared" ref="D324:D387" si="23">MAX(D323,C324)</f>
        <v>11148.146744282369</v>
      </c>
      <c r="E324">
        <f t="shared" si="20"/>
        <v>-0.10907093727196171</v>
      </c>
      <c r="F324" s="1">
        <f t="shared" si="21"/>
        <v>-6.7792069961877255E-3</v>
      </c>
    </row>
    <row r="325" spans="1:6" x14ac:dyDescent="0.35">
      <c r="A325" s="2">
        <v>44722</v>
      </c>
      <c r="B325">
        <v>-1.565919064877359E-2</v>
      </c>
      <c r="C325">
        <f t="shared" si="22"/>
        <v>9776.677592498394</v>
      </c>
      <c r="D325">
        <f t="shared" si="23"/>
        <v>11148.146744282369</v>
      </c>
      <c r="E325">
        <f t="shared" si="20"/>
        <v>-0.1230221653197533</v>
      </c>
      <c r="F325" s="1">
        <f t="shared" si="21"/>
        <v>-2.2332240750160604E-2</v>
      </c>
    </row>
    <row r="326" spans="1:6" x14ac:dyDescent="0.35">
      <c r="A326" s="2">
        <v>44725</v>
      </c>
      <c r="B326">
        <v>-3.2738274629219868E-2</v>
      </c>
      <c r="C326">
        <f t="shared" si="22"/>
        <v>9456.6060365138419</v>
      </c>
      <c r="D326">
        <f t="shared" si="23"/>
        <v>11148.146744282369</v>
      </c>
      <c r="E326">
        <f t="shared" si="20"/>
        <v>-0.15173290651525373</v>
      </c>
      <c r="F326" s="1">
        <f t="shared" si="21"/>
        <v>-5.4339396348615843E-2</v>
      </c>
    </row>
    <row r="327" spans="1:6" x14ac:dyDescent="0.35">
      <c r="A327" s="2">
        <v>44726</v>
      </c>
      <c r="B327">
        <v>-3.9555279739224743E-3</v>
      </c>
      <c r="C327">
        <f t="shared" si="22"/>
        <v>9419.2001667980476</v>
      </c>
      <c r="D327">
        <f t="shared" si="23"/>
        <v>11148.146744282369</v>
      </c>
      <c r="E327">
        <f t="shared" si="20"/>
        <v>-0.15508825073289056</v>
      </c>
      <c r="F327" s="1">
        <f t="shared" si="21"/>
        <v>-5.8079983320195261E-2</v>
      </c>
    </row>
    <row r="328" spans="1:6" x14ac:dyDescent="0.35">
      <c r="A328" s="2">
        <v>44727</v>
      </c>
      <c r="B328">
        <v>1.5907069267439389E-2</v>
      </c>
      <c r="C328">
        <f t="shared" si="22"/>
        <v>9569.0320362951807</v>
      </c>
      <c r="D328">
        <f t="shared" si="23"/>
        <v>11148.146744282369</v>
      </c>
      <c r="E328">
        <f t="shared" si="20"/>
        <v>-0.14164818101242527</v>
      </c>
      <c r="F328" s="1">
        <f t="shared" si="21"/>
        <v>-4.3096796370481916E-2</v>
      </c>
    </row>
    <row r="329" spans="1:6" x14ac:dyDescent="0.35">
      <c r="A329" s="2">
        <v>44728</v>
      </c>
      <c r="B329">
        <v>-1.5282102466647509E-2</v>
      </c>
      <c r="C329">
        <f t="shared" si="22"/>
        <v>9422.7971082098848</v>
      </c>
      <c r="D329">
        <f t="shared" si="23"/>
        <v>11148.146744282369</v>
      </c>
      <c r="E329">
        <f t="shared" si="20"/>
        <v>-0.15476560146262663</v>
      </c>
      <c r="F329" s="1">
        <f t="shared" si="21"/>
        <v>-5.7720289179011508E-2</v>
      </c>
    </row>
    <row r="330" spans="1:6" x14ac:dyDescent="0.35">
      <c r="A330" s="2">
        <v>44729</v>
      </c>
      <c r="B330">
        <v>-4.8296216424715838E-4</v>
      </c>
      <c r="C330">
        <f t="shared" si="22"/>
        <v>9418.2462537252413</v>
      </c>
      <c r="D330">
        <f t="shared" si="23"/>
        <v>11148.146744282369</v>
      </c>
      <c r="E330">
        <f t="shared" si="20"/>
        <v>-0.15517381769704042</v>
      </c>
      <c r="F330" s="1">
        <f t="shared" si="21"/>
        <v>-5.8175374627475906E-2</v>
      </c>
    </row>
    <row r="331" spans="1:6" x14ac:dyDescent="0.35">
      <c r="A331" s="2">
        <v>44733</v>
      </c>
      <c r="B331">
        <v>6.2037224028541251E-3</v>
      </c>
      <c r="C331">
        <f t="shared" si="22"/>
        <v>9476.6744390050735</v>
      </c>
      <c r="D331">
        <f t="shared" si="23"/>
        <v>11148.146744282369</v>
      </c>
      <c r="E331">
        <f t="shared" si="20"/>
        <v>-0.14993275058336986</v>
      </c>
      <c r="F331" s="1">
        <f t="shared" si="21"/>
        <v>-5.2332556099492611E-2</v>
      </c>
    </row>
    <row r="332" spans="1:6" x14ac:dyDescent="0.35">
      <c r="A332" s="2">
        <v>44734</v>
      </c>
      <c r="B332">
        <v>1.3538199470569581E-3</v>
      </c>
      <c r="C332">
        <f t="shared" si="22"/>
        <v>9489.504149892362</v>
      </c>
      <c r="D332">
        <f t="shared" si="23"/>
        <v>11148.146744282369</v>
      </c>
      <c r="E332">
        <f t="shared" si="20"/>
        <v>-0.14878191258476992</v>
      </c>
      <c r="F332" s="1">
        <f t="shared" si="21"/>
        <v>-5.1049585010763843E-2</v>
      </c>
    </row>
    <row r="333" spans="1:6" x14ac:dyDescent="0.35">
      <c r="A333" s="2">
        <v>44735</v>
      </c>
      <c r="B333">
        <v>4.8103362600601419E-3</v>
      </c>
      <c r="C333">
        <f t="shared" si="22"/>
        <v>9535.1518557945819</v>
      </c>
      <c r="D333">
        <f t="shared" si="23"/>
        <v>11148.146744282369</v>
      </c>
      <c r="E333">
        <f t="shared" si="20"/>
        <v>-0.14468726735365722</v>
      </c>
      <c r="F333" s="1">
        <f t="shared" si="21"/>
        <v>-4.6484814420541753E-2</v>
      </c>
    </row>
    <row r="334" spans="1:6" x14ac:dyDescent="0.35">
      <c r="A334" s="2">
        <v>44736</v>
      </c>
      <c r="B334">
        <v>1.42698392821027E-2</v>
      </c>
      <c r="C334">
        <f t="shared" si="22"/>
        <v>9671.2169403072148</v>
      </c>
      <c r="D334">
        <f t="shared" si="23"/>
        <v>11148.146744282369</v>
      </c>
      <c r="E334">
        <f t="shared" si="20"/>
        <v>-0.13248209212285778</v>
      </c>
      <c r="F334" s="1">
        <f t="shared" si="21"/>
        <v>-3.2878305969278543E-2</v>
      </c>
    </row>
    <row r="335" spans="1:6" x14ac:dyDescent="0.35">
      <c r="A335" s="2">
        <v>44739</v>
      </c>
      <c r="B335">
        <v>-3.7248563233595079E-3</v>
      </c>
      <c r="C335">
        <f t="shared" si="22"/>
        <v>9635.1930467325292</v>
      </c>
      <c r="D335">
        <f t="shared" si="23"/>
        <v>11148.146744282369</v>
      </c>
      <c r="E335">
        <f t="shared" si="20"/>
        <v>-0.13571347168764158</v>
      </c>
      <c r="F335" s="1">
        <f t="shared" si="21"/>
        <v>-3.6480695326747137E-2</v>
      </c>
    </row>
    <row r="336" spans="1:6" x14ac:dyDescent="0.35">
      <c r="A336" s="2">
        <v>44740</v>
      </c>
      <c r="B336">
        <v>-7.4809507147548318E-3</v>
      </c>
      <c r="C336">
        <f t="shared" si="22"/>
        <v>9563.112642422775</v>
      </c>
      <c r="D336">
        <f t="shared" si="23"/>
        <v>11148.146744282369</v>
      </c>
      <c r="E336">
        <f t="shared" si="20"/>
        <v>-0.14217915660937286</v>
      </c>
      <c r="F336" s="1">
        <f t="shared" si="21"/>
        <v>-4.3688735757722474E-2</v>
      </c>
    </row>
    <row r="337" spans="1:6" x14ac:dyDescent="0.35">
      <c r="A337" s="2">
        <v>44741</v>
      </c>
      <c r="B337">
        <v>-1.1515913455075249E-3</v>
      </c>
      <c r="C337">
        <f t="shared" si="22"/>
        <v>9552.0998446676476</v>
      </c>
      <c r="D337">
        <f t="shared" si="23"/>
        <v>11148.146744282369</v>
      </c>
      <c r="E337">
        <f t="shared" si="20"/>
        <v>-0.14316701566861745</v>
      </c>
      <c r="F337" s="1">
        <f t="shared" si="21"/>
        <v>-4.479001553323525E-2</v>
      </c>
    </row>
    <row r="338" spans="1:6" x14ac:dyDescent="0.35">
      <c r="A338" s="2">
        <v>44742</v>
      </c>
      <c r="B338">
        <v>-4.8646864738214829E-3</v>
      </c>
      <c r="C338">
        <f t="shared" si="22"/>
        <v>9505.6318737567017</v>
      </c>
      <c r="D338">
        <f t="shared" si="23"/>
        <v>11148.146744282369</v>
      </c>
      <c r="E338">
        <f t="shared" si="20"/>
        <v>-0.14733523949781835</v>
      </c>
      <c r="F338" s="1">
        <f t="shared" si="21"/>
        <v>-4.9436812624329862E-2</v>
      </c>
    </row>
    <row r="339" spans="1:6" x14ac:dyDescent="0.35">
      <c r="A339" s="2">
        <v>44743</v>
      </c>
      <c r="B339">
        <v>7.5551153907292001E-3</v>
      </c>
      <c r="C339">
        <f t="shared" si="22"/>
        <v>9577.4480194247262</v>
      </c>
      <c r="D339">
        <f t="shared" si="23"/>
        <v>11148.146744282369</v>
      </c>
      <c r="E339">
        <f t="shared" si="20"/>
        <v>-0.14089325884261594</v>
      </c>
      <c r="F339" s="1">
        <f t="shared" si="21"/>
        <v>-4.2255198057527421E-2</v>
      </c>
    </row>
    <row r="340" spans="1:6" x14ac:dyDescent="0.35">
      <c r="A340" s="2">
        <v>44747</v>
      </c>
      <c r="B340">
        <v>-6.9008302849258747E-3</v>
      </c>
      <c r="C340">
        <f t="shared" si="22"/>
        <v>9511.3556760799765</v>
      </c>
      <c r="D340">
        <f t="shared" si="23"/>
        <v>11148.146744282369</v>
      </c>
      <c r="E340">
        <f t="shared" si="20"/>
        <v>-0.14682180865997885</v>
      </c>
      <c r="F340" s="1">
        <f t="shared" si="21"/>
        <v>-4.8864432392002333E-2</v>
      </c>
    </row>
    <row r="341" spans="1:6" x14ac:dyDescent="0.35">
      <c r="A341" s="2">
        <v>44748</v>
      </c>
      <c r="B341">
        <v>-5.7825716309130581E-3</v>
      </c>
      <c r="C341">
        <f t="shared" si="22"/>
        <v>9456.3555805759534</v>
      </c>
      <c r="D341">
        <f t="shared" si="23"/>
        <v>11148.146744282369</v>
      </c>
      <c r="E341">
        <f t="shared" si="20"/>
        <v>-0.15175537266533534</v>
      </c>
      <c r="F341" s="1">
        <f t="shared" si="21"/>
        <v>-5.436444194240464E-2</v>
      </c>
    </row>
    <row r="342" spans="1:6" x14ac:dyDescent="0.35">
      <c r="A342" s="2">
        <v>44749</v>
      </c>
      <c r="B342">
        <v>1.177535455230139E-2</v>
      </c>
      <c r="C342">
        <f t="shared" si="22"/>
        <v>9567.7075203098684</v>
      </c>
      <c r="D342">
        <f t="shared" si="23"/>
        <v>11148.146744282369</v>
      </c>
      <c r="E342">
        <f t="shared" si="20"/>
        <v>-0.14176699143138494</v>
      </c>
      <c r="F342" s="1">
        <f t="shared" si="21"/>
        <v>-4.3229247969013174E-2</v>
      </c>
    </row>
    <row r="343" spans="1:6" x14ac:dyDescent="0.35">
      <c r="A343" s="2">
        <v>44750</v>
      </c>
      <c r="B343">
        <v>-3.1917757694405842E-4</v>
      </c>
      <c r="C343">
        <f t="shared" si="22"/>
        <v>9564.6537226066266</v>
      </c>
      <c r="D343">
        <f t="shared" si="23"/>
        <v>11148.146744282369</v>
      </c>
      <c r="E343">
        <f t="shared" si="20"/>
        <v>-0.14204092016351322</v>
      </c>
      <c r="F343" s="1">
        <f t="shared" si="21"/>
        <v>-4.3534627739337362E-2</v>
      </c>
    </row>
    <row r="344" spans="1:6" x14ac:dyDescent="0.35">
      <c r="A344" s="2">
        <v>44753</v>
      </c>
      <c r="B344">
        <v>-6.9085245127660328E-3</v>
      </c>
      <c r="C344">
        <f t="shared" si="22"/>
        <v>9498.5760779078792</v>
      </c>
      <c r="D344">
        <f t="shared" si="23"/>
        <v>11148.146744282369</v>
      </c>
      <c r="E344">
        <f t="shared" si="20"/>
        <v>-0.14796815149751386</v>
      </c>
      <c r="F344" s="1">
        <f t="shared" si="21"/>
        <v>-5.0142392209212128E-2</v>
      </c>
    </row>
    <row r="345" spans="1:6" x14ac:dyDescent="0.35">
      <c r="A345" s="2">
        <v>44754</v>
      </c>
      <c r="B345">
        <v>-5.4328282230194994E-3</v>
      </c>
      <c r="C345">
        <f t="shared" si="22"/>
        <v>9446.9719457133233</v>
      </c>
      <c r="D345">
        <f t="shared" si="23"/>
        <v>11148.146744282369</v>
      </c>
      <c r="E345">
        <f t="shared" si="20"/>
        <v>-0.15259709417096967</v>
      </c>
      <c r="F345" s="1">
        <f t="shared" si="21"/>
        <v>-5.5302805428667723E-2</v>
      </c>
    </row>
    <row r="346" spans="1:6" x14ac:dyDescent="0.35">
      <c r="A346" s="2">
        <v>44755</v>
      </c>
      <c r="B346">
        <v>1.400060454818433E-3</v>
      </c>
      <c r="C346">
        <f t="shared" si="22"/>
        <v>9460.1982775522938</v>
      </c>
      <c r="D346">
        <f t="shared" si="23"/>
        <v>11148.146744282369</v>
      </c>
      <c r="E346">
        <f t="shared" si="20"/>
        <v>-0.15141067887322035</v>
      </c>
      <c r="F346" s="1">
        <f t="shared" si="21"/>
        <v>-5.3980172244770586E-2</v>
      </c>
    </row>
    <row r="347" spans="1:6" x14ac:dyDescent="0.35">
      <c r="A347" s="2">
        <v>44756</v>
      </c>
      <c r="B347">
        <v>-7.1975963634857412E-3</v>
      </c>
      <c r="C347">
        <f t="shared" si="22"/>
        <v>9392.1075888319301</v>
      </c>
      <c r="D347">
        <f t="shared" si="23"/>
        <v>11148.146744282369</v>
      </c>
      <c r="E347">
        <f t="shared" si="20"/>
        <v>-0.15751848228505527</v>
      </c>
      <c r="F347" s="1">
        <f t="shared" si="21"/>
        <v>-6.0789241116806947E-2</v>
      </c>
    </row>
    <row r="348" spans="1:6" x14ac:dyDescent="0.35">
      <c r="A348" s="2">
        <v>44757</v>
      </c>
      <c r="B348">
        <v>1.1402850256175139E-2</v>
      </c>
      <c r="C348">
        <f t="shared" si="22"/>
        <v>9499.204385257266</v>
      </c>
      <c r="D348">
        <f t="shared" si="23"/>
        <v>11148.146744282369</v>
      </c>
      <c r="E348">
        <f t="shared" si="20"/>
        <v>-0.14791179169495661</v>
      </c>
      <c r="F348" s="1">
        <f t="shared" si="21"/>
        <v>-5.0079561474273393E-2</v>
      </c>
    </row>
    <row r="349" spans="1:6" x14ac:dyDescent="0.35">
      <c r="A349" s="2">
        <v>44760</v>
      </c>
      <c r="B349">
        <v>-2.1551746329883498E-3</v>
      </c>
      <c r="C349">
        <f t="shared" si="22"/>
        <v>9478.7319409325883</v>
      </c>
      <c r="D349">
        <f t="shared" si="23"/>
        <v>11148.146744282369</v>
      </c>
      <c r="E349">
        <f t="shared" si="20"/>
        <v>-0.14974819058656408</v>
      </c>
      <c r="F349" s="1">
        <f t="shared" si="21"/>
        <v>-5.2126805906741125E-2</v>
      </c>
    </row>
    <row r="350" spans="1:6" x14ac:dyDescent="0.35">
      <c r="A350" s="2">
        <v>44761</v>
      </c>
      <c r="B350">
        <v>1.4583865382144481E-2</v>
      </c>
      <c r="C350">
        <f t="shared" si="22"/>
        <v>9616.9684915525813</v>
      </c>
      <c r="D350">
        <f t="shared" si="23"/>
        <v>11148.146744282369</v>
      </c>
      <c r="E350">
        <f t="shared" si="20"/>
        <v>-0.1373482326571539</v>
      </c>
      <c r="F350" s="1">
        <f t="shared" si="21"/>
        <v>-3.8303150844741896E-2</v>
      </c>
    </row>
    <row r="351" spans="1:6" x14ac:dyDescent="0.35">
      <c r="A351" s="2">
        <v>44762</v>
      </c>
      <c r="B351">
        <v>1.61298649092035E-3</v>
      </c>
      <c r="C351">
        <f t="shared" si="22"/>
        <v>9632.4805318130639</v>
      </c>
      <c r="D351">
        <f t="shared" si="23"/>
        <v>11148.146744282369</v>
      </c>
      <c r="E351">
        <f t="shared" si="20"/>
        <v>-0.1359567870100612</v>
      </c>
      <c r="F351" s="1">
        <f t="shared" si="21"/>
        <v>-3.6751946818693648E-2</v>
      </c>
    </row>
    <row r="352" spans="1:6" x14ac:dyDescent="0.35">
      <c r="A352" s="2">
        <v>44763</v>
      </c>
      <c r="B352">
        <v>9.2364803779051569E-3</v>
      </c>
      <c r="C352">
        <f t="shared" si="22"/>
        <v>9721.4507492357097</v>
      </c>
      <c r="D352">
        <f t="shared" si="23"/>
        <v>11148.146744282369</v>
      </c>
      <c r="E352">
        <f t="shared" si="20"/>
        <v>-0.12797606882761736</v>
      </c>
      <c r="F352" s="1">
        <f t="shared" si="21"/>
        <v>-2.785492507642906E-2</v>
      </c>
    </row>
    <row r="353" spans="1:6" x14ac:dyDescent="0.35">
      <c r="A353" s="2">
        <v>44764</v>
      </c>
      <c r="B353">
        <v>-2.070873440184349E-3</v>
      </c>
      <c r="C353">
        <f t="shared" si="22"/>
        <v>9701.3188550790583</v>
      </c>
      <c r="D353">
        <f t="shared" si="23"/>
        <v>11148.146744282369</v>
      </c>
      <c r="E353">
        <f t="shared" si="20"/>
        <v>-0.12978192002588729</v>
      </c>
      <c r="F353" s="1">
        <f t="shared" si="21"/>
        <v>-2.9868114492094144E-2</v>
      </c>
    </row>
    <row r="354" spans="1:6" x14ac:dyDescent="0.35">
      <c r="A354" s="2">
        <v>44767</v>
      </c>
      <c r="B354">
        <v>5.8085165687296668E-4</v>
      </c>
      <c r="C354">
        <f t="shared" si="22"/>
        <v>9706.9538822098839</v>
      </c>
      <c r="D354">
        <f t="shared" si="23"/>
        <v>11148.146744282369</v>
      </c>
      <c r="E354">
        <f t="shared" si="20"/>
        <v>-0.12927645241229357</v>
      </c>
      <c r="F354" s="1">
        <f t="shared" si="21"/>
        <v>-2.9304611779011558E-2</v>
      </c>
    </row>
    <row r="355" spans="1:6" x14ac:dyDescent="0.35">
      <c r="A355" s="2">
        <v>44768</v>
      </c>
      <c r="B355">
        <v>-5.3003530028448162E-3</v>
      </c>
      <c r="C355">
        <f t="shared" si="22"/>
        <v>9655.5036000518357</v>
      </c>
      <c r="D355">
        <f t="shared" si="23"/>
        <v>11148.146744282369</v>
      </c>
      <c r="E355">
        <f t="shared" si="20"/>
        <v>-0.13389159458239785</v>
      </c>
      <c r="F355" s="1">
        <f t="shared" si="21"/>
        <v>-3.4449639994816428E-2</v>
      </c>
    </row>
    <row r="356" spans="1:6" x14ac:dyDescent="0.35">
      <c r="A356" s="2">
        <v>44769</v>
      </c>
      <c r="B356">
        <v>1.5527980242026399E-2</v>
      </c>
      <c r="C356">
        <f t="shared" si="22"/>
        <v>9805.4340691802572</v>
      </c>
      <c r="D356">
        <f t="shared" si="23"/>
        <v>11148.146744282369</v>
      </c>
      <c r="E356">
        <f t="shared" si="20"/>
        <v>-0.12044268037562011</v>
      </c>
      <c r="F356" s="1">
        <f t="shared" si="21"/>
        <v>-1.9456593081974227E-2</v>
      </c>
    </row>
    <row r="357" spans="1:6" x14ac:dyDescent="0.35">
      <c r="A357" s="2">
        <v>44770</v>
      </c>
      <c r="B357">
        <v>1.059814336588079E-2</v>
      </c>
      <c r="C357">
        <f t="shared" si="22"/>
        <v>9909.3534652101225</v>
      </c>
      <c r="D357">
        <f t="shared" si="23"/>
        <v>11148.146744282369</v>
      </c>
      <c r="E357">
        <f t="shared" si="20"/>
        <v>-0.11112100580373097</v>
      </c>
      <c r="F357" s="1">
        <f t="shared" si="21"/>
        <v>-9.064653478987772E-3</v>
      </c>
    </row>
    <row r="358" spans="1:6" x14ac:dyDescent="0.35">
      <c r="A358" s="2">
        <v>44771</v>
      </c>
      <c r="B358">
        <v>5.4045346419143419E-3</v>
      </c>
      <c r="C358">
        <f t="shared" si="22"/>
        <v>9962.9089092918239</v>
      </c>
      <c r="D358">
        <f t="shared" si="23"/>
        <v>11148.146744282369</v>
      </c>
      <c r="E358">
        <f t="shared" si="20"/>
        <v>-0.10631702848712732</v>
      </c>
      <c r="F358" s="1">
        <f t="shared" si="21"/>
        <v>-3.7091090708175622E-3</v>
      </c>
    </row>
    <row r="359" spans="1:6" x14ac:dyDescent="0.35">
      <c r="A359" s="2">
        <v>44774</v>
      </c>
      <c r="B359">
        <v>-1.3130079654642471E-4</v>
      </c>
      <c r="C359">
        <f t="shared" si="22"/>
        <v>9961.6007714161151</v>
      </c>
      <c r="D359">
        <f t="shared" si="23"/>
        <v>11148.146744282369</v>
      </c>
      <c r="E359">
        <f t="shared" si="20"/>
        <v>-0.10643436977314691</v>
      </c>
      <c r="F359" s="1">
        <f t="shared" si="21"/>
        <v>-3.8399228583885225E-3</v>
      </c>
    </row>
    <row r="360" spans="1:6" x14ac:dyDescent="0.35">
      <c r="A360" s="2">
        <v>44775</v>
      </c>
      <c r="B360">
        <v>-8.9144851155840421E-3</v>
      </c>
      <c r="C360">
        <f t="shared" si="22"/>
        <v>9872.7982296119353</v>
      </c>
      <c r="D360">
        <f t="shared" si="23"/>
        <v>11148.146744282369</v>
      </c>
      <c r="E360">
        <f t="shared" si="20"/>
        <v>-0.11440004728360176</v>
      </c>
      <c r="F360" s="1">
        <f t="shared" si="21"/>
        <v>-1.2720177038806457E-2</v>
      </c>
    </row>
    <row r="361" spans="1:6" x14ac:dyDescent="0.35">
      <c r="A361" s="2">
        <v>44776</v>
      </c>
      <c r="B361">
        <v>8.9859534534171576E-3</v>
      </c>
      <c r="C361">
        <f t="shared" si="22"/>
        <v>9961.5147349582076</v>
      </c>
      <c r="D361">
        <f t="shared" si="23"/>
        <v>11148.146744282369</v>
      </c>
      <c r="E361">
        <f t="shared" si="20"/>
        <v>-0.10644208733014371</v>
      </c>
      <c r="F361" s="1">
        <f t="shared" si="21"/>
        <v>-3.8485265041792172E-3</v>
      </c>
    </row>
    <row r="362" spans="1:6" x14ac:dyDescent="0.35">
      <c r="A362" s="2">
        <v>44777</v>
      </c>
      <c r="B362">
        <v>2.2743336375341751E-3</v>
      </c>
      <c r="C362">
        <f t="shared" si="22"/>
        <v>9984.170543000715</v>
      </c>
      <c r="D362">
        <f t="shared" si="23"/>
        <v>11148.146744282369</v>
      </c>
      <c r="E362">
        <f t="shared" si="20"/>
        <v>-0.10440983851227381</v>
      </c>
      <c r="F362" s="1">
        <f t="shared" si="21"/>
        <v>-1.5829456999284508E-3</v>
      </c>
    </row>
    <row r="363" spans="1:6" x14ac:dyDescent="0.35">
      <c r="A363" s="2">
        <v>44778</v>
      </c>
      <c r="B363">
        <v>-6.4326938166571999E-3</v>
      </c>
      <c r="C363">
        <f t="shared" si="22"/>
        <v>9919.9454308843033</v>
      </c>
      <c r="D363">
        <f t="shared" si="23"/>
        <v>11148.146744282369</v>
      </c>
      <c r="E363">
        <f t="shared" si="20"/>
        <v>-0.11017089580633499</v>
      </c>
      <c r="F363" s="1">
        <f t="shared" si="21"/>
        <v>-8.0054569115696195E-3</v>
      </c>
    </row>
    <row r="364" spans="1:6" x14ac:dyDescent="0.35">
      <c r="A364" s="2">
        <v>44781</v>
      </c>
      <c r="B364">
        <v>5.5108411049502497E-3</v>
      </c>
      <c r="C364">
        <f t="shared" si="22"/>
        <v>9974.6126739236843</v>
      </c>
      <c r="D364">
        <f t="shared" si="23"/>
        <v>11148.146744282369</v>
      </c>
      <c r="E364">
        <f t="shared" si="20"/>
        <v>-0.10526718900256349</v>
      </c>
      <c r="F364" s="1">
        <f t="shared" si="21"/>
        <v>-2.5387326076315997E-3</v>
      </c>
    </row>
    <row r="365" spans="1:6" x14ac:dyDescent="0.35">
      <c r="A365" s="2">
        <v>44782</v>
      </c>
      <c r="B365">
        <v>-3.3267728174415411E-3</v>
      </c>
      <c r="C365">
        <f t="shared" si="22"/>
        <v>9941.4294036155679</v>
      </c>
      <c r="D365">
        <f t="shared" si="23"/>
        <v>11148.146744282369</v>
      </c>
      <c r="E365">
        <f t="shared" si="20"/>
        <v>-0.10824376179706274</v>
      </c>
      <c r="F365" s="1">
        <f t="shared" si="21"/>
        <v>-5.857059638443185E-3</v>
      </c>
    </row>
    <row r="366" spans="1:6" x14ac:dyDescent="0.35">
      <c r="A366" s="2">
        <v>44783</v>
      </c>
      <c r="B366">
        <v>1.312130928488903E-2</v>
      </c>
      <c r="C366">
        <f t="shared" si="22"/>
        <v>10071.873973554297</v>
      </c>
      <c r="D366">
        <f t="shared" si="23"/>
        <v>11148.146744282369</v>
      </c>
      <c r="E366">
        <f t="shared" si="20"/>
        <v>-9.6542752388872888E-2</v>
      </c>
      <c r="F366" s="1">
        <f t="shared" si="21"/>
        <v>7.1873973554297255E-3</v>
      </c>
    </row>
    <row r="367" spans="1:6" x14ac:dyDescent="0.35">
      <c r="A367" s="2">
        <v>44784</v>
      </c>
      <c r="B367">
        <v>-2.4337034334949502E-3</v>
      </c>
      <c r="C367">
        <f t="shared" si="22"/>
        <v>10047.362019283129</v>
      </c>
      <c r="D367">
        <f t="shared" si="23"/>
        <v>11148.146744282369</v>
      </c>
      <c r="E367">
        <f t="shared" si="20"/>
        <v>-9.8741499394399912E-2</v>
      </c>
      <c r="F367" s="1">
        <f t="shared" si="21"/>
        <v>4.736201928313033E-3</v>
      </c>
    </row>
    <row r="368" spans="1:6" x14ac:dyDescent="0.35">
      <c r="A368" s="2">
        <v>44785</v>
      </c>
      <c r="B368">
        <v>1.090215471894068E-2</v>
      </c>
      <c r="C368">
        <f t="shared" si="22"/>
        <v>10156.899914534562</v>
      </c>
      <c r="D368">
        <f t="shared" si="23"/>
        <v>11148.146744282369</v>
      </c>
      <c r="E368">
        <f t="shared" si="20"/>
        <v>-8.8915839779037165E-2</v>
      </c>
      <c r="F368" s="1">
        <f t="shared" si="21"/>
        <v>1.5689991453456287E-2</v>
      </c>
    </row>
    <row r="369" spans="1:6" x14ac:dyDescent="0.35">
      <c r="A369" s="2">
        <v>44788</v>
      </c>
      <c r="B369">
        <v>-1.344333522946008E-3</v>
      </c>
      <c r="C369">
        <f t="shared" si="22"/>
        <v>10143.245653490245</v>
      </c>
      <c r="D369">
        <f t="shared" si="23"/>
        <v>11148.146744282369</v>
      </c>
      <c r="E369">
        <f t="shared" si="20"/>
        <v>-9.0140640757847446E-2</v>
      </c>
      <c r="F369" s="1">
        <f t="shared" si="21"/>
        <v>1.4324565349024487E-2</v>
      </c>
    </row>
    <row r="370" spans="1:6" x14ac:dyDescent="0.35">
      <c r="A370" s="2">
        <v>44789</v>
      </c>
      <c r="B370">
        <v>-1.8766837020666E-3</v>
      </c>
      <c r="C370">
        <f t="shared" si="22"/>
        <v>10124.209989686282</v>
      </c>
      <c r="D370">
        <f t="shared" si="23"/>
        <v>11148.146744282369</v>
      </c>
      <c r="E370">
        <f t="shared" si="20"/>
        <v>-9.1848158988509954E-2</v>
      </c>
      <c r="F370" s="1">
        <f t="shared" si="21"/>
        <v>1.2420998968628139E-2</v>
      </c>
    </row>
    <row r="371" spans="1:6" x14ac:dyDescent="0.35">
      <c r="A371" s="2">
        <v>44790</v>
      </c>
      <c r="B371">
        <v>-7.7431087742554491E-3</v>
      </c>
      <c r="C371">
        <f t="shared" si="22"/>
        <v>10045.817130482737</v>
      </c>
      <c r="D371">
        <f t="shared" si="23"/>
        <v>11148.146744282369</v>
      </c>
      <c r="E371">
        <f t="shared" si="20"/>
        <v>-9.8880077477002226E-2</v>
      </c>
      <c r="F371" s="1">
        <f t="shared" si="21"/>
        <v>4.5817130482737056E-3</v>
      </c>
    </row>
    <row r="372" spans="1:6" x14ac:dyDescent="0.35">
      <c r="A372" s="2">
        <v>44791</v>
      </c>
      <c r="B372">
        <v>1.3747530398409171E-3</v>
      </c>
      <c r="C372">
        <f t="shared" si="22"/>
        <v>10059.627648120555</v>
      </c>
      <c r="D372">
        <f t="shared" si="23"/>
        <v>11148.146744282369</v>
      </c>
      <c r="E372">
        <f t="shared" si="20"/>
        <v>-9.764126012425256E-2</v>
      </c>
      <c r="F372" s="1">
        <f t="shared" si="21"/>
        <v>5.9627648120554877E-3</v>
      </c>
    </row>
    <row r="373" spans="1:6" x14ac:dyDescent="0.35">
      <c r="A373" s="2">
        <v>44792</v>
      </c>
      <c r="B373">
        <v>-1.2225284647201301E-2</v>
      </c>
      <c r="C373">
        <f t="shared" si="22"/>
        <v>9936.6458366774259</v>
      </c>
      <c r="D373">
        <f t="shared" si="23"/>
        <v>11148.146744282369</v>
      </c>
      <c r="E373">
        <f t="shared" si="20"/>
        <v>-0.10867285257312331</v>
      </c>
      <c r="F373" s="1">
        <f t="shared" si="21"/>
        <v>-6.3354163322574264E-3</v>
      </c>
    </row>
    <row r="374" spans="1:6" x14ac:dyDescent="0.35">
      <c r="A374" s="2">
        <v>44795</v>
      </c>
      <c r="B374">
        <v>-1.157398588535199E-2</v>
      </c>
      <c r="C374">
        <f t="shared" si="22"/>
        <v>9821.6392380159796</v>
      </c>
      <c r="D374">
        <f t="shared" si="23"/>
        <v>11148.146744282369</v>
      </c>
      <c r="E374">
        <f t="shared" si="20"/>
        <v>-0.11898906039667312</v>
      </c>
      <c r="F374" s="1">
        <f t="shared" si="21"/>
        <v>-1.7836076198401996E-2</v>
      </c>
    </row>
    <row r="375" spans="1:6" x14ac:dyDescent="0.35">
      <c r="A375" s="2">
        <v>44796</v>
      </c>
      <c r="B375">
        <v>8.6311279754957507E-4</v>
      </c>
      <c r="C375">
        <f t="shared" si="22"/>
        <v>9830.116420535227</v>
      </c>
      <c r="D375">
        <f t="shared" si="23"/>
        <v>11148.146744282369</v>
      </c>
      <c r="E375">
        <f t="shared" si="20"/>
        <v>-0.11822864857992021</v>
      </c>
      <c r="F375" s="1">
        <f t="shared" si="21"/>
        <v>-1.698835794647735E-2</v>
      </c>
    </row>
    <row r="376" spans="1:6" x14ac:dyDescent="0.35">
      <c r="A376" s="2">
        <v>44797</v>
      </c>
      <c r="B376">
        <v>1.7905684675552909E-3</v>
      </c>
      <c r="C376">
        <f t="shared" si="22"/>
        <v>9847.7179170302334</v>
      </c>
      <c r="D376">
        <f t="shared" si="23"/>
        <v>11148.146744282369</v>
      </c>
      <c r="E376">
        <f t="shared" si="20"/>
        <v>-0.11664977660247389</v>
      </c>
      <c r="F376" s="1">
        <f t="shared" si="21"/>
        <v>-1.5228208296976686E-2</v>
      </c>
    </row>
    <row r="377" spans="1:6" x14ac:dyDescent="0.35">
      <c r="A377" s="2">
        <v>44798</v>
      </c>
      <c r="B377">
        <v>1.032299820083288E-2</v>
      </c>
      <c r="C377">
        <f t="shared" si="22"/>
        <v>9949.3758913700458</v>
      </c>
      <c r="D377">
        <f t="shared" si="23"/>
        <v>11148.146744282369</v>
      </c>
      <c r="E377">
        <f t="shared" si="20"/>
        <v>-0.10753095383563593</v>
      </c>
      <c r="F377" s="1">
        <f t="shared" si="21"/>
        <v>-5.0624108629954145E-3</v>
      </c>
    </row>
    <row r="378" spans="1:6" x14ac:dyDescent="0.35">
      <c r="A378" s="2">
        <v>44799</v>
      </c>
      <c r="B378">
        <v>-1.650034945950396E-2</v>
      </c>
      <c r="C378">
        <f t="shared" si="22"/>
        <v>9785.207712258476</v>
      </c>
      <c r="D378">
        <f t="shared" si="23"/>
        <v>11148.146744282369</v>
      </c>
      <c r="E378">
        <f t="shared" si="20"/>
        <v>-0.12225700497913816</v>
      </c>
      <c r="F378" s="1">
        <f t="shared" si="21"/>
        <v>-2.1479228774152426E-2</v>
      </c>
    </row>
    <row r="379" spans="1:6" x14ac:dyDescent="0.35">
      <c r="A379" s="2">
        <v>44802</v>
      </c>
      <c r="B379">
        <v>-4.4210774065998161E-3</v>
      </c>
      <c r="C379">
        <f t="shared" si="22"/>
        <v>9741.946551522924</v>
      </c>
      <c r="D379">
        <f t="shared" si="23"/>
        <v>11148.146744282369</v>
      </c>
      <c r="E379">
        <f t="shared" si="20"/>
        <v>-0.12613757470322617</v>
      </c>
      <c r="F379" s="1">
        <f t="shared" si="21"/>
        <v>-2.5805344847707579E-2</v>
      </c>
    </row>
    <row r="380" spans="1:6" x14ac:dyDescent="0.35">
      <c r="A380" s="2">
        <v>44803</v>
      </c>
      <c r="B380">
        <v>-9.1052849411423567E-3</v>
      </c>
      <c r="C380">
        <f t="shared" si="22"/>
        <v>9653.2433522899282</v>
      </c>
      <c r="D380">
        <f t="shared" si="23"/>
        <v>11148.146744282369</v>
      </c>
      <c r="E380">
        <f t="shared" si="20"/>
        <v>-0.13409434108491103</v>
      </c>
      <c r="F380" s="1">
        <f t="shared" si="21"/>
        <v>-3.4675664771007142E-2</v>
      </c>
    </row>
    <row r="381" spans="1:6" x14ac:dyDescent="0.35">
      <c r="A381" s="2">
        <v>44804</v>
      </c>
      <c r="B381">
        <v>-7.1448207844857572E-3</v>
      </c>
      <c r="C381">
        <f t="shared" si="22"/>
        <v>9584.272658548789</v>
      </c>
      <c r="D381">
        <f t="shared" si="23"/>
        <v>11148.146744282369</v>
      </c>
      <c r="E381">
        <f t="shared" si="20"/>
        <v>-0.14028108183413135</v>
      </c>
      <c r="F381" s="1">
        <f t="shared" si="21"/>
        <v>-4.1572734145121082E-2</v>
      </c>
    </row>
    <row r="382" spans="1:6" x14ac:dyDescent="0.35">
      <c r="A382" s="2">
        <v>44805</v>
      </c>
      <c r="B382">
        <v>-7.21853735890655E-3</v>
      </c>
      <c r="C382">
        <f t="shared" si="22"/>
        <v>9515.0882283051087</v>
      </c>
      <c r="D382">
        <f t="shared" si="23"/>
        <v>11148.146744282369</v>
      </c>
      <c r="E382">
        <f t="shared" si="20"/>
        <v>-0.14648699496307027</v>
      </c>
      <c r="F382" s="1">
        <f t="shared" si="21"/>
        <v>-4.8491177169489141E-2</v>
      </c>
    </row>
    <row r="383" spans="1:6" x14ac:dyDescent="0.35">
      <c r="A383" s="2">
        <v>44806</v>
      </c>
      <c r="B383">
        <v>-2.94019134188015E-3</v>
      </c>
      <c r="C383">
        <f t="shared" si="22"/>
        <v>9487.1120482790193</v>
      </c>
      <c r="D383">
        <f t="shared" si="23"/>
        <v>11148.146744282369</v>
      </c>
      <c r="E383">
        <f t="shared" si="20"/>
        <v>-0.14899648651066211</v>
      </c>
      <c r="F383" s="1">
        <f t="shared" si="21"/>
        <v>-5.1288795172098056E-2</v>
      </c>
    </row>
    <row r="384" spans="1:6" x14ac:dyDescent="0.35">
      <c r="A384" s="2">
        <v>44810</v>
      </c>
      <c r="B384">
        <v>-7.5064467261210582E-3</v>
      </c>
      <c r="C384">
        <f t="shared" si="22"/>
        <v>9415.8975471038702</v>
      </c>
      <c r="D384">
        <f t="shared" si="23"/>
        <v>11148.146744282369</v>
      </c>
      <c r="E384">
        <f t="shared" si="20"/>
        <v>-0.15538449904841178</v>
      </c>
      <c r="F384" s="1">
        <f t="shared" si="21"/>
        <v>-5.8410245289613028E-2</v>
      </c>
    </row>
    <row r="385" spans="1:6" x14ac:dyDescent="0.35">
      <c r="A385" s="2">
        <v>44811</v>
      </c>
      <c r="B385">
        <v>1.115914177716225E-2</v>
      </c>
      <c r="C385">
        <f t="shared" si="22"/>
        <v>9520.9708827912364</v>
      </c>
      <c r="D385">
        <f t="shared" si="23"/>
        <v>11148.146744282369</v>
      </c>
      <c r="E385">
        <f t="shared" si="20"/>
        <v>-0.14595931492610414</v>
      </c>
      <c r="F385" s="1">
        <f t="shared" si="21"/>
        <v>-4.7902911720876351E-2</v>
      </c>
    </row>
    <row r="386" spans="1:6" x14ac:dyDescent="0.35">
      <c r="A386" s="2">
        <v>44812</v>
      </c>
      <c r="B386">
        <v>3.5241512947050839E-4</v>
      </c>
      <c r="C386">
        <f t="shared" si="22"/>
        <v>9524.3262169775808</v>
      </c>
      <c r="D386">
        <f t="shared" si="23"/>
        <v>11148.146744282369</v>
      </c>
      <c r="E386">
        <f t="shared" si="20"/>
        <v>-0.14565833806750061</v>
      </c>
      <c r="F386" s="1">
        <f t="shared" si="21"/>
        <v>-4.7567378302241892E-2</v>
      </c>
    </row>
    <row r="387" spans="1:6" x14ac:dyDescent="0.35">
      <c r="A387" s="2">
        <v>44813</v>
      </c>
      <c r="B387">
        <v>1.2573392346422879E-2</v>
      </c>
      <c r="C387">
        <f t="shared" si="22"/>
        <v>9644.0793073389614</v>
      </c>
      <c r="D387">
        <f t="shared" si="23"/>
        <v>11148.146744282369</v>
      </c>
      <c r="E387">
        <f t="shared" ref="E387:E450" si="24">(C387/D387)-1</f>
        <v>-0.13491636515412841</v>
      </c>
      <c r="F387" s="1">
        <f t="shared" ref="F387:F450" si="25">C387/$C$2-1</f>
        <v>-3.559206926610381E-2</v>
      </c>
    </row>
    <row r="388" spans="1:6" x14ac:dyDescent="0.35">
      <c r="A388" s="2">
        <v>44816</v>
      </c>
      <c r="B388">
        <v>6.8588182735909581E-3</v>
      </c>
      <c r="C388">
        <f t="shared" ref="C388:C451" si="26">C387*(1+B388)</f>
        <v>9710.2262947240979</v>
      </c>
      <c r="D388">
        <f t="shared" ref="D388:D451" si="27">MAX(D387,C388)</f>
        <v>11148.146744282369</v>
      </c>
      <c r="E388">
        <f t="shared" si="24"/>
        <v>-0.12898291371126303</v>
      </c>
      <c r="F388" s="1">
        <f t="shared" si="25"/>
        <v>-2.8977370527590196E-2</v>
      </c>
    </row>
    <row r="389" spans="1:6" x14ac:dyDescent="0.35">
      <c r="A389" s="2">
        <v>44817</v>
      </c>
      <c r="B389">
        <v>-2.4382492467313711E-2</v>
      </c>
      <c r="C389">
        <f t="shared" si="26"/>
        <v>9473.4667752370751</v>
      </c>
      <c r="D389">
        <f t="shared" si="27"/>
        <v>11148.146744282369</v>
      </c>
      <c r="E389">
        <f t="shared" si="24"/>
        <v>-0.15022048125659981</v>
      </c>
      <c r="F389" s="1">
        <f t="shared" si="25"/>
        <v>-5.2653322476292508E-2</v>
      </c>
    </row>
    <row r="390" spans="1:6" x14ac:dyDescent="0.35">
      <c r="A390" s="2">
        <v>44818</v>
      </c>
      <c r="B390">
        <v>1.9248574629180579E-3</v>
      </c>
      <c r="C390">
        <f t="shared" si="26"/>
        <v>9491.7018484590972</v>
      </c>
      <c r="D390">
        <f t="shared" si="27"/>
        <v>11148.146744282369</v>
      </c>
      <c r="E390">
        <f t="shared" si="24"/>
        <v>-0.14858477680811155</v>
      </c>
      <c r="F390" s="1">
        <f t="shared" si="25"/>
        <v>-5.0829815154090241E-2</v>
      </c>
    </row>
    <row r="391" spans="1:6" x14ac:dyDescent="0.35">
      <c r="A391" s="2">
        <v>44819</v>
      </c>
      <c r="B391">
        <v>-1.135517317307768E-2</v>
      </c>
      <c r="C391">
        <f t="shared" si="26"/>
        <v>9383.9219302626225</v>
      </c>
      <c r="D391">
        <f t="shared" si="27"/>
        <v>11148.146744282369</v>
      </c>
      <c r="E391">
        <f t="shared" si="24"/>
        <v>-0.15825274410965007</v>
      </c>
      <c r="F391" s="1">
        <f t="shared" si="25"/>
        <v>-6.16078069737378E-2</v>
      </c>
    </row>
    <row r="392" spans="1:6" x14ac:dyDescent="0.35">
      <c r="A392" s="2">
        <v>44820</v>
      </c>
      <c r="B392">
        <v>-3.9967686394610253E-3</v>
      </c>
      <c r="C392">
        <f t="shared" si="26"/>
        <v>9346.4165653765976</v>
      </c>
      <c r="D392">
        <f t="shared" si="27"/>
        <v>11148.146744282369</v>
      </c>
      <c r="E392">
        <f t="shared" si="24"/>
        <v>-0.16161701314434507</v>
      </c>
      <c r="F392" s="1">
        <f t="shared" si="25"/>
        <v>-6.5358343462340263E-2</v>
      </c>
    </row>
    <row r="393" spans="1:6" x14ac:dyDescent="0.35">
      <c r="A393" s="2">
        <v>44823</v>
      </c>
      <c r="B393">
        <v>3.1867209876850081E-3</v>
      </c>
      <c r="C393">
        <f t="shared" si="26"/>
        <v>9376.2009872051294</v>
      </c>
      <c r="D393">
        <f t="shared" si="27"/>
        <v>11148.146744282369</v>
      </c>
      <c r="E393">
        <f t="shared" si="24"/>
        <v>-0.15894532048441412</v>
      </c>
      <c r="F393" s="1">
        <f t="shared" si="25"/>
        <v>-6.2379901279487004E-2</v>
      </c>
    </row>
    <row r="394" spans="1:6" x14ac:dyDescent="0.35">
      <c r="A394" s="2">
        <v>44824</v>
      </c>
      <c r="B394">
        <v>-1.0262951719275141E-2</v>
      </c>
      <c r="C394">
        <f t="shared" si="26"/>
        <v>9279.9734891632233</v>
      </c>
      <c r="D394">
        <f t="shared" si="27"/>
        <v>11148.146744282369</v>
      </c>
      <c r="E394">
        <f t="shared" si="24"/>
        <v>-0.16757702405355301</v>
      </c>
      <c r="F394" s="1">
        <f t="shared" si="25"/>
        <v>-7.2002651083677649E-2</v>
      </c>
    </row>
    <row r="395" spans="1:6" x14ac:dyDescent="0.35">
      <c r="A395" s="2">
        <v>44825</v>
      </c>
      <c r="B395">
        <v>-6.3400171131223924E-3</v>
      </c>
      <c r="C395">
        <f t="shared" si="26"/>
        <v>9221.1382984326065</v>
      </c>
      <c r="D395">
        <f t="shared" si="27"/>
        <v>11148.146744282369</v>
      </c>
      <c r="E395">
        <f t="shared" si="24"/>
        <v>-0.17285459996640973</v>
      </c>
      <c r="F395" s="1">
        <f t="shared" si="25"/>
        <v>-7.7886170156739376E-2</v>
      </c>
    </row>
    <row r="396" spans="1:6" x14ac:dyDescent="0.35">
      <c r="A396" s="2">
        <v>44826</v>
      </c>
      <c r="B396">
        <v>-1.017658366872288E-2</v>
      </c>
      <c r="C396">
        <f t="shared" si="26"/>
        <v>9127.2986130177414</v>
      </c>
      <c r="D396">
        <f t="shared" si="27"/>
        <v>11148.146744282369</v>
      </c>
      <c r="E396">
        <f t="shared" si="24"/>
        <v>-0.18127211433605095</v>
      </c>
      <c r="F396" s="1">
        <f t="shared" si="25"/>
        <v>-8.7270138698225863E-2</v>
      </c>
    </row>
    <row r="397" spans="1:6" x14ac:dyDescent="0.35">
      <c r="A397" s="2">
        <v>44827</v>
      </c>
      <c r="B397">
        <v>-1.5669552904312409E-2</v>
      </c>
      <c r="C397">
        <f t="shared" si="26"/>
        <v>8984.2779245276033</v>
      </c>
      <c r="D397">
        <f t="shared" si="27"/>
        <v>11148.146744282369</v>
      </c>
      <c r="E397">
        <f t="shared" si="24"/>
        <v>-0.19410121425469795</v>
      </c>
      <c r="F397" s="1">
        <f t="shared" si="25"/>
        <v>-0.10157220754723972</v>
      </c>
    </row>
    <row r="398" spans="1:6" x14ac:dyDescent="0.35">
      <c r="A398" s="2">
        <v>44830</v>
      </c>
      <c r="B398">
        <v>-1.52199385129372E-2</v>
      </c>
      <c r="C398">
        <f t="shared" si="26"/>
        <v>8847.5377669331538</v>
      </c>
      <c r="D398">
        <f t="shared" si="27"/>
        <v>11148.146744282369</v>
      </c>
      <c r="E398">
        <f t="shared" si="24"/>
        <v>-0.20636694422139223</v>
      </c>
      <c r="F398" s="1">
        <f t="shared" si="25"/>
        <v>-0.11524622330668466</v>
      </c>
    </row>
    <row r="399" spans="1:6" x14ac:dyDescent="0.35">
      <c r="A399" s="2">
        <v>44831</v>
      </c>
      <c r="B399">
        <v>-4.7983090905842993E-3</v>
      </c>
      <c r="C399">
        <f t="shared" si="26"/>
        <v>8805.0845460367909</v>
      </c>
      <c r="D399">
        <f t="shared" si="27"/>
        <v>11148.146744282369</v>
      </c>
      <c r="E399">
        <f t="shared" si="24"/>
        <v>-0.21017504092752293</v>
      </c>
      <c r="F399" s="1">
        <f t="shared" si="25"/>
        <v>-0.1194915453963209</v>
      </c>
    </row>
    <row r="400" spans="1:6" x14ac:dyDescent="0.35">
      <c r="A400" s="2">
        <v>44832</v>
      </c>
      <c r="B400">
        <v>2.2283868052174399E-2</v>
      </c>
      <c r="C400">
        <f t="shared" si="26"/>
        <v>9001.2958882489147</v>
      </c>
      <c r="D400">
        <f t="shared" si="27"/>
        <v>11148.146744282369</v>
      </c>
      <c r="E400">
        <f t="shared" si="24"/>
        <v>-0.19257468575523773</v>
      </c>
      <c r="F400" s="1">
        <f t="shared" si="25"/>
        <v>-9.9870411175108531E-2</v>
      </c>
    </row>
    <row r="401" spans="1:6" x14ac:dyDescent="0.35">
      <c r="A401" s="2">
        <v>44833</v>
      </c>
      <c r="B401">
        <v>-1.405444095725816E-2</v>
      </c>
      <c r="C401">
        <f t="shared" si="26"/>
        <v>8874.787706648709</v>
      </c>
      <c r="D401">
        <f t="shared" si="27"/>
        <v>11148.146744282369</v>
      </c>
      <c r="E401">
        <f t="shared" si="24"/>
        <v>-0.20392259716168648</v>
      </c>
      <c r="F401" s="1">
        <f t="shared" si="25"/>
        <v>-0.11252122933512909</v>
      </c>
    </row>
    <row r="402" spans="1:6" x14ac:dyDescent="0.35">
      <c r="A402" s="2">
        <v>44834</v>
      </c>
      <c r="B402">
        <v>-5.8930785040497338E-3</v>
      </c>
      <c r="C402">
        <f t="shared" si="26"/>
        <v>8822.4878859866531</v>
      </c>
      <c r="D402">
        <f t="shared" si="27"/>
        <v>11148.146744282369</v>
      </c>
      <c r="E402">
        <f t="shared" si="24"/>
        <v>-0.20861394379191256</v>
      </c>
      <c r="F402" s="1">
        <f t="shared" si="25"/>
        <v>-0.11775121140133471</v>
      </c>
    </row>
    <row r="403" spans="1:6" x14ac:dyDescent="0.35">
      <c r="A403" s="2">
        <v>44837</v>
      </c>
      <c r="B403">
        <v>1.971777256782772E-2</v>
      </c>
      <c r="C403">
        <f t="shared" si="26"/>
        <v>8996.447695604953</v>
      </c>
      <c r="D403">
        <f t="shared" si="27"/>
        <v>11148.146744282369</v>
      </c>
      <c r="E403">
        <f t="shared" si="24"/>
        <v>-0.19300957352225145</v>
      </c>
      <c r="F403" s="1">
        <f t="shared" si="25"/>
        <v>-0.10035523043950467</v>
      </c>
    </row>
    <row r="404" spans="1:6" x14ac:dyDescent="0.35">
      <c r="A404" s="2">
        <v>44838</v>
      </c>
      <c r="B404">
        <v>2.1820134216095469E-2</v>
      </c>
      <c r="C404">
        <f t="shared" si="26"/>
        <v>9192.7513917911365</v>
      </c>
      <c r="D404">
        <f t="shared" si="27"/>
        <v>11148.146744282369</v>
      </c>
      <c r="E404">
        <f t="shared" si="24"/>
        <v>-0.17540093410540281</v>
      </c>
      <c r="F404" s="1">
        <f t="shared" si="25"/>
        <v>-8.0724860820886368E-2</v>
      </c>
    </row>
    <row r="405" spans="1:6" x14ac:dyDescent="0.35">
      <c r="A405" s="2">
        <v>44839</v>
      </c>
      <c r="B405">
        <v>-4.8366165227628922E-3</v>
      </c>
      <c r="C405">
        <f t="shared" si="26"/>
        <v>9148.2895785199471</v>
      </c>
      <c r="D405">
        <f t="shared" si="27"/>
        <v>11148.146744282369</v>
      </c>
      <c r="E405">
        <f t="shared" si="24"/>
        <v>-0.17938920357216348</v>
      </c>
      <c r="F405" s="1">
        <f t="shared" si="25"/>
        <v>-8.5171042148005305E-2</v>
      </c>
    </row>
    <row r="406" spans="1:6" x14ac:dyDescent="0.35">
      <c r="A406" s="2">
        <v>44840</v>
      </c>
      <c r="B406">
        <v>-7.1992525861184998E-3</v>
      </c>
      <c r="C406">
        <f t="shared" si="26"/>
        <v>9082.4287311132266</v>
      </c>
      <c r="D406">
        <f t="shared" si="27"/>
        <v>11148.146744282369</v>
      </c>
      <c r="E406">
        <f t="shared" si="24"/>
        <v>-0.18529698797054339</v>
      </c>
      <c r="F406" s="1">
        <f t="shared" si="25"/>
        <v>-9.1757126888677321E-2</v>
      </c>
    </row>
    <row r="407" spans="1:6" x14ac:dyDescent="0.35">
      <c r="A407" s="2">
        <v>44841</v>
      </c>
      <c r="B407">
        <v>-1.6126536460942881E-2</v>
      </c>
      <c r="C407">
        <f t="shared" si="26"/>
        <v>8935.9606130270149</v>
      </c>
      <c r="D407">
        <f t="shared" si="27"/>
        <v>11148.146744282369</v>
      </c>
      <c r="E407">
        <f t="shared" si="24"/>
        <v>-0.19843532579887624</v>
      </c>
      <c r="F407" s="1">
        <f t="shared" si="25"/>
        <v>-0.10640393869729847</v>
      </c>
    </row>
    <row r="408" spans="1:6" x14ac:dyDescent="0.35">
      <c r="A408" s="2">
        <v>44844</v>
      </c>
      <c r="B408">
        <v>-1.010509327724458E-2</v>
      </c>
      <c r="C408">
        <f t="shared" si="26"/>
        <v>8845.6618975105921</v>
      </c>
      <c r="D408">
        <f t="shared" si="27"/>
        <v>11148.146744282369</v>
      </c>
      <c r="E408">
        <f t="shared" si="24"/>
        <v>-0.2065352115994229</v>
      </c>
      <c r="F408" s="1">
        <f t="shared" si="25"/>
        <v>-0.11543381024894084</v>
      </c>
    </row>
    <row r="409" spans="1:6" x14ac:dyDescent="0.35">
      <c r="A409" s="2">
        <v>44845</v>
      </c>
      <c r="B409">
        <v>-3.748576692850625E-3</v>
      </c>
      <c r="C409">
        <f t="shared" si="26"/>
        <v>8812.5032554887475</v>
      </c>
      <c r="D409">
        <f t="shared" si="27"/>
        <v>11148.146744282369</v>
      </c>
      <c r="E409">
        <f t="shared" si="24"/>
        <v>-0.2095095752118189</v>
      </c>
      <c r="F409" s="1">
        <f t="shared" si="25"/>
        <v>-0.11874967445112528</v>
      </c>
    </row>
    <row r="410" spans="1:6" x14ac:dyDescent="0.35">
      <c r="A410" s="2">
        <v>44846</v>
      </c>
      <c r="B410">
        <v>-4.0695699719529171E-4</v>
      </c>
      <c r="C410">
        <f t="shared" si="26"/>
        <v>8808.9169456261207</v>
      </c>
      <c r="D410">
        <f t="shared" si="27"/>
        <v>11148.146744282369</v>
      </c>
      <c r="E410">
        <f t="shared" si="24"/>
        <v>-0.20983127082140229</v>
      </c>
      <c r="F410" s="1">
        <f t="shared" si="25"/>
        <v>-0.11910830543738793</v>
      </c>
    </row>
    <row r="411" spans="1:6" x14ac:dyDescent="0.35">
      <c r="A411" s="2">
        <v>44847</v>
      </c>
      <c r="B411">
        <v>9.4602663598266079E-3</v>
      </c>
      <c r="C411">
        <f t="shared" si="26"/>
        <v>8892.2516462733347</v>
      </c>
      <c r="D411">
        <f t="shared" si="27"/>
        <v>11148.146744282369</v>
      </c>
      <c r="E411">
        <f t="shared" si="24"/>
        <v>-0.20235606417416696</v>
      </c>
      <c r="F411" s="1">
        <f t="shared" si="25"/>
        <v>-0.11077483537266652</v>
      </c>
    </row>
    <row r="412" spans="1:6" x14ac:dyDescent="0.35">
      <c r="A412" s="2">
        <v>44848</v>
      </c>
      <c r="B412">
        <v>-1.6110711549819419E-2</v>
      </c>
      <c r="C412">
        <f t="shared" si="26"/>
        <v>8748.9911449718184</v>
      </c>
      <c r="D412">
        <f t="shared" si="27"/>
        <v>11148.146744282369</v>
      </c>
      <c r="E412">
        <f t="shared" si="24"/>
        <v>-0.21520667554371964</v>
      </c>
      <c r="F412" s="1">
        <f t="shared" si="25"/>
        <v>-0.12510088550281817</v>
      </c>
    </row>
    <row r="413" spans="1:6" x14ac:dyDescent="0.35">
      <c r="A413" s="2">
        <v>44851</v>
      </c>
      <c r="B413">
        <v>1.618260648610835E-2</v>
      </c>
      <c r="C413">
        <f t="shared" si="26"/>
        <v>8890.5726258213435</v>
      </c>
      <c r="D413">
        <f t="shared" si="27"/>
        <v>11148.146744282369</v>
      </c>
      <c r="E413">
        <f t="shared" si="24"/>
        <v>-0.20250667400111899</v>
      </c>
      <c r="F413" s="1">
        <f t="shared" si="25"/>
        <v>-0.11094273741786564</v>
      </c>
    </row>
    <row r="414" spans="1:6" x14ac:dyDescent="0.35">
      <c r="A414" s="2">
        <v>44852</v>
      </c>
      <c r="B414">
        <v>4.925278340232599E-3</v>
      </c>
      <c r="C414">
        <f t="shared" si="26"/>
        <v>8934.3611706075681</v>
      </c>
      <c r="D414">
        <f t="shared" si="27"/>
        <v>11148.146744282369</v>
      </c>
      <c r="E414">
        <f t="shared" si="24"/>
        <v>-0.19857879739609641</v>
      </c>
      <c r="F414" s="1">
        <f t="shared" si="25"/>
        <v>-0.10656388293924324</v>
      </c>
    </row>
    <row r="415" spans="1:6" x14ac:dyDescent="0.35">
      <c r="A415" s="2">
        <v>44853</v>
      </c>
      <c r="B415">
        <v>-1.2408577619091711E-2</v>
      </c>
      <c r="C415">
        <f t="shared" si="26"/>
        <v>8823.498456545085</v>
      </c>
      <c r="D415">
        <f t="shared" si="27"/>
        <v>11148.146744282369</v>
      </c>
      <c r="E415">
        <f t="shared" si="24"/>
        <v>-0.20852329459419283</v>
      </c>
      <c r="F415" s="1">
        <f t="shared" si="25"/>
        <v>-0.11765015434549153</v>
      </c>
    </row>
    <row r="416" spans="1:6" x14ac:dyDescent="0.35">
      <c r="A416" s="2">
        <v>44854</v>
      </c>
      <c r="B416">
        <v>-5.5056861061407326E-3</v>
      </c>
      <c r="C416">
        <f t="shared" si="26"/>
        <v>8774.9190436853296</v>
      </c>
      <c r="D416">
        <f t="shared" si="27"/>
        <v>11148.146744282369</v>
      </c>
      <c r="E416">
        <f t="shared" si="24"/>
        <v>-0.21288091689447963</v>
      </c>
      <c r="F416" s="1">
        <f t="shared" si="25"/>
        <v>-0.12250809563146703</v>
      </c>
    </row>
    <row r="417" spans="1:6" x14ac:dyDescent="0.35">
      <c r="A417" s="2">
        <v>44855</v>
      </c>
      <c r="B417">
        <v>1.053089622180749E-2</v>
      </c>
      <c r="C417">
        <f t="shared" si="26"/>
        <v>8867.3268054891432</v>
      </c>
      <c r="D417">
        <f t="shared" si="27"/>
        <v>11148.146744282369</v>
      </c>
      <c r="E417">
        <f t="shared" si="24"/>
        <v>-0.20459184751609105</v>
      </c>
      <c r="F417" s="1">
        <f t="shared" si="25"/>
        <v>-0.1132673194510857</v>
      </c>
    </row>
    <row r="418" spans="1:6" x14ac:dyDescent="0.35">
      <c r="A418" s="2">
        <v>44858</v>
      </c>
      <c r="B418">
        <v>-1.6850772261234751E-3</v>
      </c>
      <c r="C418">
        <f t="shared" si="26"/>
        <v>8852.3846750326193</v>
      </c>
      <c r="D418">
        <f t="shared" si="27"/>
        <v>11148.146744282369</v>
      </c>
      <c r="E418">
        <f t="shared" si="24"/>
        <v>-0.20593217167931466</v>
      </c>
      <c r="F418" s="1">
        <f t="shared" si="25"/>
        <v>-0.11476153249673804</v>
      </c>
    </row>
    <row r="419" spans="1:6" x14ac:dyDescent="0.35">
      <c r="A419" s="2">
        <v>44859</v>
      </c>
      <c r="B419">
        <v>1.716946730698541E-2</v>
      </c>
      <c r="C419">
        <f t="shared" si="26"/>
        <v>9004.3754042994497</v>
      </c>
      <c r="D419">
        <f t="shared" si="27"/>
        <v>11148.146744282369</v>
      </c>
      <c r="E419">
        <f t="shared" si="24"/>
        <v>-0.19229845006143387</v>
      </c>
      <c r="F419" s="1">
        <f t="shared" si="25"/>
        <v>-9.9562459570055051E-2</v>
      </c>
    </row>
    <row r="420" spans="1:6" x14ac:dyDescent="0.35">
      <c r="A420" s="2">
        <v>44860</v>
      </c>
      <c r="B420">
        <v>4.3671293598485329E-3</v>
      </c>
      <c r="C420">
        <f t="shared" si="26"/>
        <v>9043.6986764946651</v>
      </c>
      <c r="D420">
        <f t="shared" si="27"/>
        <v>11148.146744282369</v>
      </c>
      <c r="E420">
        <f t="shared" si="24"/>
        <v>-0.18877111290870185</v>
      </c>
      <c r="F420" s="1">
        <f t="shared" si="25"/>
        <v>-9.5630132350533525E-2</v>
      </c>
    </row>
    <row r="421" spans="1:6" x14ac:dyDescent="0.35">
      <c r="A421" s="2">
        <v>44861</v>
      </c>
      <c r="B421">
        <v>-7.838859664560247E-4</v>
      </c>
      <c r="C421">
        <f t="shared" si="26"/>
        <v>9036.6094480173033</v>
      </c>
      <c r="D421">
        <f t="shared" si="27"/>
        <v>11148.146744282369</v>
      </c>
      <c r="E421">
        <f t="shared" si="24"/>
        <v>-0.18940702384887653</v>
      </c>
      <c r="F421" s="1">
        <f t="shared" si="25"/>
        <v>-9.6339055198269685E-2</v>
      </c>
    </row>
    <row r="422" spans="1:6" x14ac:dyDescent="0.35">
      <c r="A422" s="2">
        <v>44862</v>
      </c>
      <c r="B422">
        <v>6.5693478034893251E-3</v>
      </c>
      <c r="C422">
        <f t="shared" si="26"/>
        <v>9095.974078445628</v>
      </c>
      <c r="D422">
        <f t="shared" si="27"/>
        <v>11148.146744282369</v>
      </c>
      <c r="E422">
        <f t="shared" si="24"/>
        <v>-0.18408195666147409</v>
      </c>
      <c r="F422" s="1">
        <f t="shared" si="25"/>
        <v>-9.0402592155437222E-2</v>
      </c>
    </row>
    <row r="423" spans="1:6" x14ac:dyDescent="0.35">
      <c r="A423" s="2">
        <v>44865</v>
      </c>
      <c r="B423">
        <v>-6.5528769761851249E-3</v>
      </c>
      <c r="C423">
        <f t="shared" si="26"/>
        <v>9036.3692793310056</v>
      </c>
      <c r="D423">
        <f t="shared" si="27"/>
        <v>11148.146744282369</v>
      </c>
      <c r="E423">
        <f t="shared" si="24"/>
        <v>-0.18942856722212109</v>
      </c>
      <c r="F423" s="1">
        <f t="shared" si="25"/>
        <v>-9.6363072066899425E-2</v>
      </c>
    </row>
    <row r="424" spans="1:6" x14ac:dyDescent="0.35">
      <c r="A424" s="2">
        <v>44866</v>
      </c>
      <c r="B424">
        <v>5.0387749951896999E-3</v>
      </c>
      <c r="C424">
        <f t="shared" si="26"/>
        <v>9081.9015109029988</v>
      </c>
      <c r="D424">
        <f t="shared" si="27"/>
        <v>11148.146744282369</v>
      </c>
      <c r="E424">
        <f t="shared" si="24"/>
        <v>-0.18534428015482485</v>
      </c>
      <c r="F424" s="1">
        <f t="shared" si="25"/>
        <v>-9.180984890970012E-2</v>
      </c>
    </row>
    <row r="425" spans="1:6" x14ac:dyDescent="0.35">
      <c r="A425" s="2">
        <v>44867</v>
      </c>
      <c r="B425">
        <v>-1.3402235861070521E-2</v>
      </c>
      <c r="C425">
        <f t="shared" si="26"/>
        <v>8960.1837247868643</v>
      </c>
      <c r="D425">
        <f t="shared" si="27"/>
        <v>11148.146744282369</v>
      </c>
      <c r="E425">
        <f t="shared" si="24"/>
        <v>-0.19626248825776005</v>
      </c>
      <c r="F425" s="1">
        <f t="shared" si="25"/>
        <v>-0.10398162752131357</v>
      </c>
    </row>
    <row r="426" spans="1:6" x14ac:dyDescent="0.35">
      <c r="A426" s="2">
        <v>44868</v>
      </c>
      <c r="B426">
        <v>-5.4684338734670417E-3</v>
      </c>
      <c r="C426">
        <f t="shared" si="26"/>
        <v>8911.1855525937517</v>
      </c>
      <c r="D426">
        <f t="shared" si="27"/>
        <v>11148.146744282369</v>
      </c>
      <c r="E426">
        <f t="shared" si="24"/>
        <v>-0.20065767369234744</v>
      </c>
      <c r="F426" s="1">
        <f t="shared" si="25"/>
        <v>-0.10888144474062478</v>
      </c>
    </row>
    <row r="427" spans="1:6" x14ac:dyDescent="0.35">
      <c r="A427" s="2">
        <v>44869</v>
      </c>
      <c r="B427">
        <v>1.6208925397394179E-2</v>
      </c>
      <c r="C427">
        <f t="shared" si="26"/>
        <v>9055.6262944180817</v>
      </c>
      <c r="D427">
        <f t="shared" si="27"/>
        <v>11148.146744282369</v>
      </c>
      <c r="E427">
        <f t="shared" si="24"/>
        <v>-0.1877011935582471</v>
      </c>
      <c r="F427" s="1">
        <f t="shared" si="25"/>
        <v>-9.4437370558191791E-2</v>
      </c>
    </row>
    <row r="428" spans="1:6" x14ac:dyDescent="0.35">
      <c r="A428" s="2">
        <v>44872</v>
      </c>
      <c r="B428">
        <v>-9.5622853268175043E-5</v>
      </c>
      <c r="C428">
        <f t="shared" si="26"/>
        <v>9054.7603695936796</v>
      </c>
      <c r="D428">
        <f t="shared" si="27"/>
        <v>11148.146744282369</v>
      </c>
      <c r="E428">
        <f t="shared" si="24"/>
        <v>-0.18777886788782538</v>
      </c>
      <c r="F428" s="1">
        <f t="shared" si="25"/>
        <v>-9.4523963040632042E-2</v>
      </c>
    </row>
    <row r="429" spans="1:6" x14ac:dyDescent="0.35">
      <c r="A429" s="2">
        <v>44873</v>
      </c>
      <c r="B429">
        <v>5.5327196394781251E-3</v>
      </c>
      <c r="C429">
        <f t="shared" si="26"/>
        <v>9104.8578201212986</v>
      </c>
      <c r="D429">
        <f t="shared" si="27"/>
        <v>11148.146744282369</v>
      </c>
      <c r="E429">
        <f t="shared" si="24"/>
        <v>-0.18328507607858913</v>
      </c>
      <c r="F429" s="1">
        <f t="shared" si="25"/>
        <v>-8.9514217987870182E-2</v>
      </c>
    </row>
    <row r="430" spans="1:6" x14ac:dyDescent="0.35">
      <c r="A430" s="2">
        <v>44874</v>
      </c>
      <c r="B430">
        <v>-1.2374720396586009E-2</v>
      </c>
      <c r="C430">
        <f t="shared" si="26"/>
        <v>8992.1877503466276</v>
      </c>
      <c r="D430">
        <f t="shared" si="27"/>
        <v>11148.146744282369</v>
      </c>
      <c r="E430">
        <f t="shared" si="24"/>
        <v>-0.19339169490583563</v>
      </c>
      <c r="F430" s="1">
        <f t="shared" si="25"/>
        <v>-0.10078122496533726</v>
      </c>
    </row>
    <row r="431" spans="1:6" x14ac:dyDescent="0.35">
      <c r="A431" s="2">
        <v>44875</v>
      </c>
      <c r="B431">
        <v>4.3404552528241568E-2</v>
      </c>
      <c r="C431">
        <f t="shared" si="26"/>
        <v>9382.4896359003578</v>
      </c>
      <c r="D431">
        <f t="shared" si="27"/>
        <v>11148.146744282369</v>
      </c>
      <c r="E431">
        <f t="shared" si="24"/>
        <v>-0.15838122235766017</v>
      </c>
      <c r="F431" s="1">
        <f t="shared" si="25"/>
        <v>-6.1751036409964266E-2</v>
      </c>
    </row>
    <row r="432" spans="1:6" x14ac:dyDescent="0.35">
      <c r="A432" s="2">
        <v>44876</v>
      </c>
      <c r="B432">
        <v>9.1222062138017739E-3</v>
      </c>
      <c r="C432">
        <f t="shared" si="26"/>
        <v>9468.0786411578974</v>
      </c>
      <c r="D432">
        <f t="shared" si="27"/>
        <v>11148.146744282369</v>
      </c>
      <c r="E432">
        <f t="shared" si="24"/>
        <v>-0.15070380231459901</v>
      </c>
      <c r="F432" s="1">
        <f t="shared" si="25"/>
        <v>-5.3192135884210234E-2</v>
      </c>
    </row>
    <row r="433" spans="1:6" x14ac:dyDescent="0.35">
      <c r="A433" s="2">
        <v>44879</v>
      </c>
      <c r="B433">
        <v>-8.2841155482636236E-3</v>
      </c>
      <c r="C433">
        <f t="shared" si="26"/>
        <v>9389.6439836744994</v>
      </c>
      <c r="D433">
        <f t="shared" si="27"/>
        <v>11148.146744282369</v>
      </c>
      <c r="E433">
        <f t="shared" si="24"/>
        <v>-0.15773947015092582</v>
      </c>
      <c r="F433" s="1">
        <f t="shared" si="25"/>
        <v>-6.1035601632550063E-2</v>
      </c>
    </row>
    <row r="434" spans="1:6" x14ac:dyDescent="0.35">
      <c r="A434" s="2">
        <v>44880</v>
      </c>
      <c r="B434">
        <v>1.159193046383987E-2</v>
      </c>
      <c r="C434">
        <f t="shared" si="26"/>
        <v>9498.4880838134668</v>
      </c>
      <c r="D434">
        <f t="shared" si="27"/>
        <v>11148.146744282369</v>
      </c>
      <c r="E434">
        <f t="shared" si="24"/>
        <v>-0.1479760446564784</v>
      </c>
      <c r="F434" s="1">
        <f t="shared" si="25"/>
        <v>-5.0151191618653335E-2</v>
      </c>
    </row>
    <row r="435" spans="1:6" x14ac:dyDescent="0.35">
      <c r="A435" s="2">
        <v>44881</v>
      </c>
      <c r="B435">
        <v>-3.671104085411899E-3</v>
      </c>
      <c r="C435">
        <f t="shared" si="26"/>
        <v>9463.6181454037433</v>
      </c>
      <c r="D435">
        <f t="shared" si="27"/>
        <v>11148.146744282369</v>
      </c>
      <c r="E435">
        <f t="shared" si="24"/>
        <v>-0.15110391327980877</v>
      </c>
      <c r="F435" s="1">
        <f t="shared" si="25"/>
        <v>-5.363818545962562E-2</v>
      </c>
    </row>
    <row r="436" spans="1:6" x14ac:dyDescent="0.35">
      <c r="A436" s="2">
        <v>44882</v>
      </c>
      <c r="B436">
        <v>-5.9131827876277576E-3</v>
      </c>
      <c r="C436">
        <f t="shared" si="26"/>
        <v>9407.6580414776599</v>
      </c>
      <c r="D436">
        <f t="shared" si="27"/>
        <v>11148.146744282369</v>
      </c>
      <c r="E436">
        <f t="shared" si="24"/>
        <v>-0.15612359100828721</v>
      </c>
      <c r="F436" s="1">
        <f t="shared" si="25"/>
        <v>-5.9234195852233995E-2</v>
      </c>
    </row>
    <row r="437" spans="1:6" x14ac:dyDescent="0.35">
      <c r="A437" s="2">
        <v>44883</v>
      </c>
      <c r="B437">
        <v>-1.9759647769412121E-4</v>
      </c>
      <c r="C437">
        <f t="shared" si="26"/>
        <v>9405.7991213853129</v>
      </c>
      <c r="D437">
        <f t="shared" si="27"/>
        <v>11148.146744282369</v>
      </c>
      <c r="E437">
        <f t="shared" si="24"/>
        <v>-0.15629033801431313</v>
      </c>
      <c r="F437" s="1">
        <f t="shared" si="25"/>
        <v>-5.9420087861468684E-2</v>
      </c>
    </row>
    <row r="438" spans="1:6" x14ac:dyDescent="0.35">
      <c r="A438" s="2">
        <v>44886</v>
      </c>
      <c r="B438">
        <v>-3.460047947386316E-3</v>
      </c>
      <c r="C438">
        <f t="shared" si="26"/>
        <v>9373.2546054418362</v>
      </c>
      <c r="D438">
        <f t="shared" si="27"/>
        <v>11148.146744282369</v>
      </c>
      <c r="E438">
        <f t="shared" si="24"/>
        <v>-0.15920961389845667</v>
      </c>
      <c r="F438" s="1">
        <f t="shared" si="25"/>
        <v>-6.2674539455816358E-2</v>
      </c>
    </row>
    <row r="439" spans="1:6" x14ac:dyDescent="0.35">
      <c r="A439" s="2">
        <v>44887</v>
      </c>
      <c r="B439">
        <v>8.9958027292940668E-3</v>
      </c>
      <c r="C439">
        <f t="shared" si="26"/>
        <v>9457.5745548038376</v>
      </c>
      <c r="D439">
        <f t="shared" si="27"/>
        <v>11148.146744282369</v>
      </c>
      <c r="E439">
        <f t="shared" si="24"/>
        <v>-0.15164602944840022</v>
      </c>
      <c r="F439" s="1">
        <f t="shared" si="25"/>
        <v>-5.4242544519616187E-2</v>
      </c>
    </row>
    <row r="440" spans="1:6" x14ac:dyDescent="0.35">
      <c r="A440" s="2">
        <v>44888</v>
      </c>
      <c r="B440">
        <v>5.8217035104107329E-3</v>
      </c>
      <c r="C440">
        <f t="shared" si="26"/>
        <v>9512.6337497895092</v>
      </c>
      <c r="D440">
        <f t="shared" si="27"/>
        <v>11148.146744282369</v>
      </c>
      <c r="E440">
        <f t="shared" si="24"/>
        <v>-0.14670716415996921</v>
      </c>
      <c r="F440" s="1">
        <f t="shared" si="25"/>
        <v>-4.8736625021049029E-2</v>
      </c>
    </row>
    <row r="441" spans="1:6" x14ac:dyDescent="0.35">
      <c r="A441" s="2">
        <v>44890</v>
      </c>
      <c r="B441">
        <v>-8.8091740756933326E-4</v>
      </c>
      <c r="C441">
        <f t="shared" si="26"/>
        <v>9504.2539051274871</v>
      </c>
      <c r="D441">
        <f t="shared" si="27"/>
        <v>11148.146744282369</v>
      </c>
      <c r="E441">
        <f t="shared" si="24"/>
        <v>-0.147458844672815</v>
      </c>
      <c r="F441" s="1">
        <f t="shared" si="25"/>
        <v>-4.9574609487251342E-2</v>
      </c>
    </row>
    <row r="442" spans="1:6" x14ac:dyDescent="0.35">
      <c r="A442" s="2">
        <v>44893</v>
      </c>
      <c r="B442">
        <v>-1.028866872998558E-2</v>
      </c>
      <c r="C442">
        <f t="shared" si="26"/>
        <v>9406.4677851719589</v>
      </c>
      <c r="D442">
        <f t="shared" si="27"/>
        <v>11148.146744282369</v>
      </c>
      <c r="E442">
        <f t="shared" si="24"/>
        <v>-0.15623035819865549</v>
      </c>
      <c r="F442" s="1">
        <f t="shared" si="25"/>
        <v>-5.9353221482804086E-2</v>
      </c>
    </row>
    <row r="443" spans="1:6" x14ac:dyDescent="0.35">
      <c r="A443" s="2">
        <v>44894</v>
      </c>
      <c r="B443">
        <v>2.9950674831501498E-3</v>
      </c>
      <c r="C443">
        <f t="shared" si="26"/>
        <v>9434.6407909666286</v>
      </c>
      <c r="D443">
        <f t="shared" si="27"/>
        <v>11148.146744282369</v>
      </c>
      <c r="E443">
        <f t="shared" si="24"/>
        <v>-0.15370321118122687</v>
      </c>
      <c r="F443" s="1">
        <f t="shared" si="25"/>
        <v>-5.6535920903337145E-2</v>
      </c>
    </row>
    <row r="444" spans="1:6" x14ac:dyDescent="0.35">
      <c r="A444" s="2">
        <v>44895</v>
      </c>
      <c r="B444">
        <v>2.10707895037241E-2</v>
      </c>
      <c r="C444">
        <f t="shared" si="26"/>
        <v>9633.4361211163359</v>
      </c>
      <c r="D444">
        <f t="shared" si="27"/>
        <v>11148.146744282369</v>
      </c>
      <c r="E444">
        <f t="shared" si="24"/>
        <v>-0.13587106968634888</v>
      </c>
      <c r="F444" s="1">
        <f t="shared" si="25"/>
        <v>-3.6656387888366448E-2</v>
      </c>
    </row>
    <row r="445" spans="1:6" x14ac:dyDescent="0.35">
      <c r="A445" s="2">
        <v>44896</v>
      </c>
      <c r="B445">
        <v>6.2424381164936753E-3</v>
      </c>
      <c r="C445">
        <f t="shared" si="26"/>
        <v>9693.5722499515996</v>
      </c>
      <c r="D445">
        <f t="shared" si="27"/>
        <v>11148.146744282369</v>
      </c>
      <c r="E445">
        <f t="shared" si="24"/>
        <v>-0.13047679831419401</v>
      </c>
      <c r="F445" s="1">
        <f t="shared" si="25"/>
        <v>-3.0642775004840028E-2</v>
      </c>
    </row>
    <row r="446" spans="1:6" x14ac:dyDescent="0.35">
      <c r="A446" s="2">
        <v>44897</v>
      </c>
      <c r="B446">
        <v>5.4870320624039151E-4</v>
      </c>
      <c r="C446">
        <f t="shared" si="26"/>
        <v>9698.8911441250712</v>
      </c>
      <c r="D446">
        <f t="shared" si="27"/>
        <v>11148.146744282369</v>
      </c>
      <c r="E446">
        <f t="shared" si="24"/>
        <v>-0.12999968814552854</v>
      </c>
      <c r="F446" s="1">
        <f t="shared" si="25"/>
        <v>-3.0110885587492864E-2</v>
      </c>
    </row>
    <row r="447" spans="1:6" x14ac:dyDescent="0.35">
      <c r="A447" s="2">
        <v>44900</v>
      </c>
      <c r="B447">
        <v>-1.586127967913329E-2</v>
      </c>
      <c r="C447">
        <f t="shared" si="26"/>
        <v>9545.0543191106335</v>
      </c>
      <c r="D447">
        <f t="shared" si="27"/>
        <v>11148.146744282369</v>
      </c>
      <c r="E447">
        <f t="shared" si="24"/>
        <v>-0.14379900641278565</v>
      </c>
      <c r="F447" s="1">
        <f t="shared" si="25"/>
        <v>-4.5494568088936593E-2</v>
      </c>
    </row>
    <row r="448" spans="1:6" x14ac:dyDescent="0.35">
      <c r="A448" s="2">
        <v>44901</v>
      </c>
      <c r="B448">
        <v>-5.0328051813161344E-3</v>
      </c>
      <c r="C448">
        <f t="shared" si="26"/>
        <v>9497.0159202774703</v>
      </c>
      <c r="D448">
        <f t="shared" si="27"/>
        <v>11148.146744282369</v>
      </c>
      <c r="E448">
        <f t="shared" si="24"/>
        <v>-0.14810809920955925</v>
      </c>
      <c r="F448" s="1">
        <f t="shared" si="25"/>
        <v>-5.0298407972252934E-2</v>
      </c>
    </row>
    <row r="449" spans="1:6" x14ac:dyDescent="0.35">
      <c r="A449" s="2">
        <v>44902</v>
      </c>
      <c r="B449">
        <v>3.3630404945441828E-3</v>
      </c>
      <c r="C449">
        <f t="shared" si="26"/>
        <v>9528.9547693946934</v>
      </c>
      <c r="D449">
        <f t="shared" si="27"/>
        <v>11148.146744282369</v>
      </c>
      <c r="E449">
        <f t="shared" si="24"/>
        <v>-0.14524315225022688</v>
      </c>
      <c r="F449" s="1">
        <f t="shared" si="25"/>
        <v>-4.7104523060530701E-2</v>
      </c>
    </row>
    <row r="450" spans="1:6" x14ac:dyDescent="0.35">
      <c r="A450" s="2">
        <v>44903</v>
      </c>
      <c r="B450">
        <v>3.296395677373967E-3</v>
      </c>
      <c r="C450">
        <f t="shared" si="26"/>
        <v>9560.3659747064175</v>
      </c>
      <c r="D450">
        <f t="shared" si="27"/>
        <v>11148.146744282369</v>
      </c>
      <c r="E450">
        <f t="shared" si="24"/>
        <v>-0.1424255354720988</v>
      </c>
      <c r="F450" s="1">
        <f t="shared" si="25"/>
        <v>-4.3963402529358264E-2</v>
      </c>
    </row>
    <row r="451" spans="1:6" x14ac:dyDescent="0.35">
      <c r="A451" s="2">
        <v>44904</v>
      </c>
      <c r="B451">
        <v>-5.8416761713351749E-3</v>
      </c>
      <c r="C451">
        <f t="shared" si="26"/>
        <v>9504.5174126027323</v>
      </c>
      <c r="D451">
        <f t="shared" si="27"/>
        <v>11148.146744282369</v>
      </c>
      <c r="E451">
        <f t="shared" ref="E451:E514" si="28">(C451/D451)-1</f>
        <v>-0.14743520778667685</v>
      </c>
      <c r="F451" s="1">
        <f t="shared" ref="F451:F514" si="29">C451/$C$2-1</f>
        <v>-4.9548258739726792E-2</v>
      </c>
    </row>
    <row r="452" spans="1:6" x14ac:dyDescent="0.35">
      <c r="A452" s="2">
        <v>44907</v>
      </c>
      <c r="B452">
        <v>4.4402195350201736E-3</v>
      </c>
      <c r="C452">
        <f t="shared" ref="C452:C515" si="30">C451*(1+B452)</f>
        <v>9546.7195564891099</v>
      </c>
      <c r="D452">
        <f t="shared" ref="D452:D515" si="31">MAX(D451,C452)</f>
        <v>11148.146744282369</v>
      </c>
      <c r="E452">
        <f t="shared" si="28"/>
        <v>-0.14364963294142086</v>
      </c>
      <c r="F452" s="1">
        <f t="shared" si="29"/>
        <v>-4.5328044351089058E-2</v>
      </c>
    </row>
    <row r="453" spans="1:6" x14ac:dyDescent="0.35">
      <c r="A453" s="2">
        <v>44908</v>
      </c>
      <c r="B453">
        <v>1.1484511592683931E-2</v>
      </c>
      <c r="C453">
        <f t="shared" si="30"/>
        <v>9656.3589679077104</v>
      </c>
      <c r="D453">
        <f t="shared" si="31"/>
        <v>11148.146744282369</v>
      </c>
      <c r="E453">
        <f t="shared" si="28"/>
        <v>-0.13381486722353764</v>
      </c>
      <c r="F453" s="1">
        <f t="shared" si="29"/>
        <v>-3.4364103209229002E-2</v>
      </c>
    </row>
    <row r="454" spans="1:6" x14ac:dyDescent="0.35">
      <c r="A454" s="2">
        <v>44909</v>
      </c>
      <c r="B454">
        <v>-1.6648120370853579E-3</v>
      </c>
      <c r="C454">
        <f t="shared" si="30"/>
        <v>9640.2829452635215</v>
      </c>
      <c r="D454">
        <f t="shared" si="31"/>
        <v>11148.146744282369</v>
      </c>
      <c r="E454">
        <f t="shared" si="28"/>
        <v>-0.1352569026589282</v>
      </c>
      <c r="F454" s="1">
        <f t="shared" si="29"/>
        <v>-3.5971705473647808E-2</v>
      </c>
    </row>
    <row r="455" spans="1:6" x14ac:dyDescent="0.35">
      <c r="A455" s="2">
        <v>44910</v>
      </c>
      <c r="B455">
        <v>-1.4215616158409281E-2</v>
      </c>
      <c r="C455">
        <f t="shared" si="30"/>
        <v>9503.2403832551954</v>
      </c>
      <c r="D455">
        <f t="shared" si="31"/>
        <v>11148.146744282369</v>
      </c>
      <c r="E455">
        <f t="shared" si="28"/>
        <v>-0.14754975860636288</v>
      </c>
      <c r="F455" s="1">
        <f t="shared" si="29"/>
        <v>-4.9675961674480407E-2</v>
      </c>
    </row>
    <row r="456" spans="1:6" x14ac:dyDescent="0.35">
      <c r="A456" s="2">
        <v>44911</v>
      </c>
      <c r="B456">
        <v>-7.3156304952833248E-3</v>
      </c>
      <c r="C456">
        <f t="shared" si="30"/>
        <v>9433.7181881034467</v>
      </c>
      <c r="D456">
        <f t="shared" si="31"/>
        <v>11148.146744282369</v>
      </c>
      <c r="E456">
        <f t="shared" si="28"/>
        <v>-0.15378596958801372</v>
      </c>
      <c r="F456" s="1">
        <f t="shared" si="29"/>
        <v>-5.6628181189655291E-2</v>
      </c>
    </row>
    <row r="457" spans="1:6" x14ac:dyDescent="0.35">
      <c r="A457" s="2">
        <v>44914</v>
      </c>
      <c r="B457">
        <v>-7.9361701697940757E-3</v>
      </c>
      <c r="C457">
        <f t="shared" si="30"/>
        <v>9358.850595228776</v>
      </c>
      <c r="D457">
        <f t="shared" si="31"/>
        <v>11148.146744282369</v>
      </c>
      <c r="E457">
        <f t="shared" si="28"/>
        <v>-0.16050166813343048</v>
      </c>
      <c r="F457" s="1">
        <f t="shared" si="29"/>
        <v>-6.4114940477122406E-2</v>
      </c>
    </row>
    <row r="458" spans="1:6" x14ac:dyDescent="0.35">
      <c r="A458" s="2">
        <v>44915</v>
      </c>
      <c r="B458">
        <v>-9.2377809824805042E-4</v>
      </c>
      <c r="C458">
        <f t="shared" si="30"/>
        <v>9350.2050940241279</v>
      </c>
      <c r="D458">
        <f t="shared" si="31"/>
        <v>11148.146744282369</v>
      </c>
      <c r="E458">
        <f t="shared" si="28"/>
        <v>-0.16127717830592458</v>
      </c>
      <c r="F458" s="1">
        <f t="shared" si="29"/>
        <v>-6.4979490597587231E-2</v>
      </c>
    </row>
    <row r="459" spans="1:6" x14ac:dyDescent="0.35">
      <c r="A459" s="2">
        <v>44916</v>
      </c>
      <c r="B459">
        <v>8.7455065041059342E-3</v>
      </c>
      <c r="C459">
        <f t="shared" si="30"/>
        <v>9431.9773734886403</v>
      </c>
      <c r="D459">
        <f t="shared" si="31"/>
        <v>11148.146744282369</v>
      </c>
      <c r="E459">
        <f t="shared" si="28"/>
        <v>-0.15394212241365701</v>
      </c>
      <c r="F459" s="1">
        <f t="shared" si="29"/>
        <v>-5.6802262651135971E-2</v>
      </c>
    </row>
    <row r="460" spans="1:6" x14ac:dyDescent="0.35">
      <c r="A460" s="2">
        <v>44917</v>
      </c>
      <c r="B460">
        <v>-8.7337874596173579E-3</v>
      </c>
      <c r="C460">
        <f t="shared" si="30"/>
        <v>9349.6004877846699</v>
      </c>
      <c r="D460">
        <f t="shared" si="31"/>
        <v>11148.146744282369</v>
      </c>
      <c r="E460">
        <f t="shared" si="28"/>
        <v>-0.16133141209503121</v>
      </c>
      <c r="F460" s="1">
        <f t="shared" si="29"/>
        <v>-6.5039951221533054E-2</v>
      </c>
    </row>
    <row r="461" spans="1:6" x14ac:dyDescent="0.35">
      <c r="A461" s="2">
        <v>44918</v>
      </c>
      <c r="B461">
        <v>2.1005331134554329E-3</v>
      </c>
      <c r="C461">
        <f t="shared" si="30"/>
        <v>9369.2396332068402</v>
      </c>
      <c r="D461">
        <f t="shared" si="31"/>
        <v>11148.146744282369</v>
      </c>
      <c r="E461">
        <f t="shared" si="28"/>
        <v>-0.15956976095492192</v>
      </c>
      <c r="F461" s="1">
        <f t="shared" si="29"/>
        <v>-6.3076036679315939E-2</v>
      </c>
    </row>
    <row r="462" spans="1:6" x14ac:dyDescent="0.35">
      <c r="A462" s="2">
        <v>44922</v>
      </c>
      <c r="B462">
        <v>-3.5670926352747E-3</v>
      </c>
      <c r="C462">
        <f t="shared" si="30"/>
        <v>9335.818687513105</v>
      </c>
      <c r="D462">
        <f t="shared" si="31"/>
        <v>11148.146744282369</v>
      </c>
      <c r="E462">
        <f t="shared" si="28"/>
        <v>-0.16256765347108171</v>
      </c>
      <c r="F462" s="1">
        <f t="shared" si="29"/>
        <v>-6.6418131248689449E-2</v>
      </c>
    </row>
    <row r="463" spans="1:6" x14ac:dyDescent="0.35">
      <c r="A463" s="2">
        <v>44923</v>
      </c>
      <c r="B463">
        <v>-1.0341352118174959E-2</v>
      </c>
      <c r="C463">
        <f t="shared" si="30"/>
        <v>9239.2736991540933</v>
      </c>
      <c r="D463">
        <f t="shared" si="31"/>
        <v>11148.146744282369</v>
      </c>
      <c r="E463">
        <f t="shared" si="28"/>
        <v>-0.1712278362416868</v>
      </c>
      <c r="F463" s="1">
        <f t="shared" si="29"/>
        <v>-7.6072630084590642E-2</v>
      </c>
    </row>
    <row r="464" spans="1:6" x14ac:dyDescent="0.35">
      <c r="A464" s="2">
        <v>44924</v>
      </c>
      <c r="B464">
        <v>1.356167682310265E-2</v>
      </c>
      <c r="C464">
        <f t="shared" si="30"/>
        <v>9364.5737431422131</v>
      </c>
      <c r="D464">
        <f t="shared" si="31"/>
        <v>11148.146744282369</v>
      </c>
      <c r="E464">
        <f t="shared" si="28"/>
        <v>-0.15998829599681308</v>
      </c>
      <c r="F464" s="1">
        <f t="shared" si="29"/>
        <v>-6.3542625685778731E-2</v>
      </c>
    </row>
    <row r="465" spans="1:6" x14ac:dyDescent="0.35">
      <c r="A465" s="2">
        <v>44925</v>
      </c>
      <c r="B465">
        <v>-3.700187901181142E-3</v>
      </c>
      <c r="C465">
        <f t="shared" si="30"/>
        <v>9329.9230606781202</v>
      </c>
      <c r="D465">
        <f t="shared" si="31"/>
        <v>11148.146744282369</v>
      </c>
      <c r="E465">
        <f t="shared" si="28"/>
        <v>-0.1630964971408162</v>
      </c>
      <c r="F465" s="1">
        <f t="shared" si="29"/>
        <v>-6.7007693932187973E-2</v>
      </c>
    </row>
    <row r="466" spans="1:6" x14ac:dyDescent="0.35">
      <c r="A466" s="2">
        <v>44929</v>
      </c>
      <c r="B466">
        <v>1.829096415988641E-3</v>
      </c>
      <c r="C466">
        <f t="shared" si="30"/>
        <v>9346.9883895098556</v>
      </c>
      <c r="D466">
        <f t="shared" si="31"/>
        <v>11148.146744282369</v>
      </c>
      <c r="E466">
        <f t="shared" si="28"/>
        <v>-0.16156571994320812</v>
      </c>
      <c r="F466" s="1">
        <f t="shared" si="29"/>
        <v>-6.53011610490144E-2</v>
      </c>
    </row>
    <row r="467" spans="1:6" x14ac:dyDescent="0.35">
      <c r="A467" s="2">
        <v>44930</v>
      </c>
      <c r="B467">
        <v>1.0220932181447619E-2</v>
      </c>
      <c r="C467">
        <f t="shared" si="30"/>
        <v>9442.5233239398149</v>
      </c>
      <c r="D467">
        <f t="shared" si="31"/>
        <v>11148.146744282369</v>
      </c>
      <c r="E467">
        <f t="shared" si="28"/>
        <v>-0.15299614002814677</v>
      </c>
      <c r="F467" s="1">
        <f t="shared" si="29"/>
        <v>-5.5747667606018458E-2</v>
      </c>
    </row>
    <row r="468" spans="1:6" x14ac:dyDescent="0.35">
      <c r="A468" s="2">
        <v>44931</v>
      </c>
      <c r="B468">
        <v>-7.936860208881567E-3</v>
      </c>
      <c r="C468">
        <f t="shared" si="30"/>
        <v>9367.5793362986005</v>
      </c>
      <c r="D468">
        <f t="shared" si="31"/>
        <v>11148.146744282369</v>
      </c>
      <c r="E468">
        <f t="shared" si="28"/>
        <v>-0.15971869126112648</v>
      </c>
      <c r="F468" s="1">
        <f t="shared" si="29"/>
        <v>-6.324206637013996E-2</v>
      </c>
    </row>
    <row r="469" spans="1:6" x14ac:dyDescent="0.35">
      <c r="A469" s="2">
        <v>44932</v>
      </c>
      <c r="B469">
        <v>1.9373662548633461E-2</v>
      </c>
      <c r="C469">
        <f t="shared" si="30"/>
        <v>9549.0636572576004</v>
      </c>
      <c r="D469">
        <f t="shared" si="31"/>
        <v>11148.146744282369</v>
      </c>
      <c r="E469">
        <f t="shared" si="28"/>
        <v>-0.14343936473969554</v>
      </c>
      <c r="F469" s="1">
        <f t="shared" si="29"/>
        <v>-4.5093634274239958E-2</v>
      </c>
    </row>
    <row r="470" spans="1:6" x14ac:dyDescent="0.35">
      <c r="A470" s="2">
        <v>44935</v>
      </c>
      <c r="B470">
        <v>4.0987321431268913E-3</v>
      </c>
      <c r="C470">
        <f t="shared" si="30"/>
        <v>9588.2027114063676</v>
      </c>
      <c r="D470">
        <f t="shared" si="31"/>
        <v>11148.146744282369</v>
      </c>
      <c r="E470">
        <f t="shared" si="28"/>
        <v>-0.13992855213141686</v>
      </c>
      <c r="F470" s="1">
        <f t="shared" si="29"/>
        <v>-4.1179728859363274E-2</v>
      </c>
    </row>
    <row r="471" spans="1:6" x14ac:dyDescent="0.35">
      <c r="A471" s="2">
        <v>44936</v>
      </c>
      <c r="B471">
        <v>1.5732488592762411E-3</v>
      </c>
      <c r="C471">
        <f t="shared" si="30"/>
        <v>9603.2873403845988</v>
      </c>
      <c r="D471">
        <f t="shared" si="31"/>
        <v>11148.146744282369</v>
      </c>
      <c r="E471">
        <f t="shared" si="28"/>
        <v>-0.1385754457071614</v>
      </c>
      <c r="F471" s="1">
        <f t="shared" si="29"/>
        <v>-3.9671265961540136E-2</v>
      </c>
    </row>
    <row r="472" spans="1:6" x14ac:dyDescent="0.35">
      <c r="A472" s="2">
        <v>44937</v>
      </c>
      <c r="B472">
        <v>1.209359518389282E-2</v>
      </c>
      <c r="C472">
        <f t="shared" si="30"/>
        <v>9719.4256099138129</v>
      </c>
      <c r="D472">
        <f t="shared" si="31"/>
        <v>11148.146744282369</v>
      </c>
      <c r="E472">
        <f t="shared" si="28"/>
        <v>-0.12815772586607854</v>
      </c>
      <c r="F472" s="1">
        <f t="shared" si="29"/>
        <v>-2.8057439008618679E-2</v>
      </c>
    </row>
    <row r="473" spans="1:6" x14ac:dyDescent="0.35">
      <c r="A473" s="2">
        <v>44938</v>
      </c>
      <c r="B473">
        <v>1.029217691640932E-2</v>
      </c>
      <c r="C473">
        <f t="shared" si="30"/>
        <v>9819.4596578169258</v>
      </c>
      <c r="D473">
        <f t="shared" si="31"/>
        <v>11148.146744282369</v>
      </c>
      <c r="E473">
        <f t="shared" si="28"/>
        <v>-0.11918457093748758</v>
      </c>
      <c r="F473" s="1">
        <f t="shared" si="29"/>
        <v>-1.8054034218307424E-2</v>
      </c>
    </row>
    <row r="474" spans="1:6" x14ac:dyDescent="0.35">
      <c r="A474" s="2">
        <v>44939</v>
      </c>
      <c r="B474">
        <v>2.2343635372755908E-3</v>
      </c>
      <c r="C474">
        <f t="shared" si="30"/>
        <v>9841.3999004321013</v>
      </c>
      <c r="D474">
        <f t="shared" si="31"/>
        <v>11148.146744282369</v>
      </c>
      <c r="E474">
        <f t="shared" si="28"/>
        <v>-0.11721650905972048</v>
      </c>
      <c r="F474" s="1">
        <f t="shared" si="29"/>
        <v>-1.5860009956789822E-2</v>
      </c>
    </row>
    <row r="475" spans="1:6" x14ac:dyDescent="0.35">
      <c r="A475" s="2">
        <v>44943</v>
      </c>
      <c r="B475">
        <v>-1.4120185660234251E-3</v>
      </c>
      <c r="C475">
        <f t="shared" si="30"/>
        <v>9827.5036610570296</v>
      </c>
      <c r="D475">
        <f t="shared" si="31"/>
        <v>11148.146744282369</v>
      </c>
      <c r="E475">
        <f t="shared" si="28"/>
        <v>-0.1184630157387071</v>
      </c>
      <c r="F475" s="1">
        <f t="shared" si="29"/>
        <v>-1.7249633894297012E-2</v>
      </c>
    </row>
    <row r="476" spans="1:6" x14ac:dyDescent="0.35">
      <c r="A476" s="2">
        <v>44944</v>
      </c>
      <c r="B476">
        <v>-2.7393432857734839E-3</v>
      </c>
      <c r="C476">
        <f t="shared" si="30"/>
        <v>9800.5827548871985</v>
      </c>
      <c r="D476">
        <f t="shared" si="31"/>
        <v>11148.146744282369</v>
      </c>
      <c r="E476">
        <f t="shared" si="28"/>
        <v>-0.1208778481577043</v>
      </c>
      <c r="F476" s="1">
        <f t="shared" si="29"/>
        <v>-1.9941724511280179E-2</v>
      </c>
    </row>
    <row r="477" spans="1:6" x14ac:dyDescent="0.35">
      <c r="A477" s="2">
        <v>44945</v>
      </c>
      <c r="B477">
        <v>-1.3554200738741589E-3</v>
      </c>
      <c r="C477">
        <f t="shared" si="30"/>
        <v>9787.2988482855599</v>
      </c>
      <c r="D477">
        <f t="shared" si="31"/>
        <v>11148.146744282369</v>
      </c>
      <c r="E477">
        <f t="shared" si="28"/>
        <v>-0.12206942796969877</v>
      </c>
      <c r="F477" s="1">
        <f t="shared" si="29"/>
        <v>-2.1270115171444059E-2</v>
      </c>
    </row>
    <row r="478" spans="1:6" x14ac:dyDescent="0.35">
      <c r="A478" s="2">
        <v>44946</v>
      </c>
      <c r="B478">
        <v>6.2590895480457674E-3</v>
      </c>
      <c r="C478">
        <f t="shared" si="30"/>
        <v>9848.5584282104628</v>
      </c>
      <c r="D478">
        <f t="shared" si="31"/>
        <v>11148.146744282369</v>
      </c>
      <c r="E478">
        <f t="shared" si="28"/>
        <v>-0.11657438190239422</v>
      </c>
      <c r="F478" s="1">
        <f t="shared" si="29"/>
        <v>-1.5144157178953677E-2</v>
      </c>
    </row>
    <row r="479" spans="1:6" x14ac:dyDescent="0.35">
      <c r="A479" s="2">
        <v>44949</v>
      </c>
      <c r="B479">
        <v>4.6460012758851414E-3</v>
      </c>
      <c r="C479">
        <f t="shared" si="30"/>
        <v>9894.3148432335583</v>
      </c>
      <c r="D479">
        <f t="shared" si="31"/>
        <v>11148.146744282369</v>
      </c>
      <c r="E479">
        <f t="shared" si="28"/>
        <v>-0.11246998535356312</v>
      </c>
      <c r="F479" s="1">
        <f t="shared" si="29"/>
        <v>-1.0568515676644186E-2</v>
      </c>
    </row>
    <row r="480" spans="1:6" x14ac:dyDescent="0.35">
      <c r="A480" s="2">
        <v>44950</v>
      </c>
      <c r="B480">
        <v>1.734612835034025E-3</v>
      </c>
      <c r="C480">
        <f t="shared" si="30"/>
        <v>9911.4776487544987</v>
      </c>
      <c r="D480">
        <f t="shared" si="31"/>
        <v>11148.146744282369</v>
      </c>
      <c r="E480">
        <f t="shared" si="28"/>
        <v>-0.11093046439867948</v>
      </c>
      <c r="F480" s="1">
        <f t="shared" si="29"/>
        <v>-8.8522351245501341E-3</v>
      </c>
    </row>
    <row r="481" spans="1:6" x14ac:dyDescent="0.35">
      <c r="A481" s="2">
        <v>44951</v>
      </c>
      <c r="B481">
        <v>1.216465295352467E-3</v>
      </c>
      <c r="C481">
        <f t="shared" si="30"/>
        <v>9923.5346173398721</v>
      </c>
      <c r="D481">
        <f t="shared" si="31"/>
        <v>11148.146744282369</v>
      </c>
      <c r="E481">
        <f t="shared" si="28"/>
        <v>-0.10984894216346519</v>
      </c>
      <c r="F481" s="1">
        <f t="shared" si="29"/>
        <v>-7.6465382660128034E-3</v>
      </c>
    </row>
    <row r="482" spans="1:6" x14ac:dyDescent="0.35">
      <c r="A482" s="2">
        <v>44952</v>
      </c>
      <c r="B482">
        <v>3.9309957398171837E-3</v>
      </c>
      <c r="C482">
        <f t="shared" si="30"/>
        <v>9962.5439896445641</v>
      </c>
      <c r="D482">
        <f t="shared" si="31"/>
        <v>11148.146744282369</v>
      </c>
      <c r="E482">
        <f t="shared" si="28"/>
        <v>-0.10634976214731595</v>
      </c>
      <c r="F482" s="1">
        <f t="shared" si="29"/>
        <v>-3.7456010355435554E-3</v>
      </c>
    </row>
    <row r="483" spans="1:6" x14ac:dyDescent="0.35">
      <c r="A483" s="2">
        <v>44953</v>
      </c>
      <c r="B483">
        <v>-2.5632992552849851E-5</v>
      </c>
      <c r="C483">
        <f t="shared" si="30"/>
        <v>9962.2886198286706</v>
      </c>
      <c r="D483">
        <f t="shared" si="31"/>
        <v>11148.146744282369</v>
      </c>
      <c r="E483">
        <f t="shared" si="28"/>
        <v>-0.10637266907720766</v>
      </c>
      <c r="F483" s="1">
        <f t="shared" si="29"/>
        <v>-3.7711380171329134E-3</v>
      </c>
    </row>
    <row r="484" spans="1:6" x14ac:dyDescent="0.35">
      <c r="A484" s="2">
        <v>44956</v>
      </c>
      <c r="B484">
        <v>-9.7938493693856647E-3</v>
      </c>
      <c r="C484">
        <f t="shared" si="30"/>
        <v>9864.7194657117234</v>
      </c>
      <c r="D484">
        <f t="shared" si="31"/>
        <v>11148.146744282369</v>
      </c>
      <c r="E484">
        <f t="shared" si="28"/>
        <v>-0.11512472054863165</v>
      </c>
      <c r="F484" s="1">
        <f t="shared" si="29"/>
        <v>-1.352805342882768E-2</v>
      </c>
    </row>
    <row r="485" spans="1:6" x14ac:dyDescent="0.35">
      <c r="A485" s="2">
        <v>44957</v>
      </c>
      <c r="B485">
        <v>1.0614405532092371E-2</v>
      </c>
      <c r="C485">
        <f t="shared" si="30"/>
        <v>9969.4275985811146</v>
      </c>
      <c r="D485">
        <f t="shared" si="31"/>
        <v>11148.146744282369</v>
      </c>
      <c r="E485">
        <f t="shared" si="28"/>
        <v>-0.10573229548721108</v>
      </c>
      <c r="F485" s="1">
        <f t="shared" si="29"/>
        <v>-3.0572401418885731E-3</v>
      </c>
    </row>
    <row r="486" spans="1:6" x14ac:dyDescent="0.35">
      <c r="A486" s="2">
        <v>44958</v>
      </c>
      <c r="B486">
        <v>9.0604660169288399E-3</v>
      </c>
      <c r="C486">
        <f t="shared" si="30"/>
        <v>10059.755258546293</v>
      </c>
      <c r="D486">
        <f t="shared" si="31"/>
        <v>11148.146744282369</v>
      </c>
      <c r="E486">
        <f t="shared" si="28"/>
        <v>-9.7629813340435967E-2</v>
      </c>
      <c r="F486" s="1">
        <f t="shared" si="29"/>
        <v>5.9755258546292378E-3</v>
      </c>
    </row>
    <row r="487" spans="1:6" x14ac:dyDescent="0.35">
      <c r="A487" s="2">
        <v>44959</v>
      </c>
      <c r="B487">
        <v>5.451251052782516E-3</v>
      </c>
      <c r="C487">
        <f t="shared" si="30"/>
        <v>10114.593509990176</v>
      </c>
      <c r="D487">
        <f t="shared" si="31"/>
        <v>11148.146744282369</v>
      </c>
      <c r="E487">
        <f t="shared" si="28"/>
        <v>-9.2710766910408582E-2</v>
      </c>
      <c r="F487" s="1">
        <f t="shared" si="29"/>
        <v>1.1459350999017515E-2</v>
      </c>
    </row>
    <row r="488" spans="1:6" x14ac:dyDescent="0.35">
      <c r="A488" s="2">
        <v>44960</v>
      </c>
      <c r="B488">
        <v>-1.4887547897227221E-2</v>
      </c>
      <c r="C488">
        <f t="shared" si="30"/>
        <v>9964.0120146492136</v>
      </c>
      <c r="D488">
        <f t="shared" si="31"/>
        <v>11148.146744282369</v>
      </c>
      <c r="E488">
        <f t="shared" si="28"/>
        <v>-0.10621807882466838</v>
      </c>
      <c r="F488" s="1">
        <f t="shared" si="29"/>
        <v>-3.5987985350786067E-3</v>
      </c>
    </row>
    <row r="489" spans="1:6" x14ac:dyDescent="0.35">
      <c r="A489" s="2">
        <v>44963</v>
      </c>
      <c r="B489">
        <v>-7.1926852613210081E-3</v>
      </c>
      <c r="C489">
        <f t="shared" si="30"/>
        <v>9892.3440122878201</v>
      </c>
      <c r="D489">
        <f t="shared" si="31"/>
        <v>11148.146744282369</v>
      </c>
      <c r="E489">
        <f t="shared" si="28"/>
        <v>-0.11264677087594144</v>
      </c>
      <c r="F489" s="1">
        <f t="shared" si="29"/>
        <v>-1.0765598771217966E-2</v>
      </c>
    </row>
    <row r="490" spans="1:6" x14ac:dyDescent="0.35">
      <c r="A490" s="2">
        <v>44964</v>
      </c>
      <c r="B490">
        <v>5.1001364746310826E-3</v>
      </c>
      <c r="C490">
        <f t="shared" si="30"/>
        <v>9942.7963168044862</v>
      </c>
      <c r="D490">
        <f t="shared" si="31"/>
        <v>11148.146744282369</v>
      </c>
      <c r="E490">
        <f t="shared" si="28"/>
        <v>-0.10812114830620434</v>
      </c>
      <c r="F490" s="1">
        <f t="shared" si="29"/>
        <v>-5.720368319551361E-3</v>
      </c>
    </row>
    <row r="491" spans="1:6" x14ac:dyDescent="0.35">
      <c r="A491" s="2">
        <v>44965</v>
      </c>
      <c r="B491">
        <v>-3.8058155095631501E-3</v>
      </c>
      <c r="C491">
        <f t="shared" si="30"/>
        <v>9904.955868373565</v>
      </c>
      <c r="D491">
        <f t="shared" si="31"/>
        <v>11148.146744282369</v>
      </c>
      <c r="E491">
        <f t="shared" si="28"/>
        <v>-0.1115154746726319</v>
      </c>
      <c r="F491" s="1">
        <f t="shared" si="29"/>
        <v>-9.5044131626434991E-3</v>
      </c>
    </row>
    <row r="492" spans="1:6" x14ac:dyDescent="0.35">
      <c r="A492" s="2">
        <v>44966</v>
      </c>
      <c r="B492">
        <v>-6.7477239958893412E-3</v>
      </c>
      <c r="C492">
        <f t="shared" si="30"/>
        <v>9838.1199599823158</v>
      </c>
      <c r="D492">
        <f t="shared" si="31"/>
        <v>11148.146744282369</v>
      </c>
      <c r="E492">
        <f t="shared" si="28"/>
        <v>-0.11751072302415966</v>
      </c>
      <c r="F492" s="1">
        <f t="shared" si="29"/>
        <v>-1.6188004001768452E-2</v>
      </c>
    </row>
    <row r="493" spans="1:6" x14ac:dyDescent="0.35">
      <c r="A493" s="2">
        <v>44967</v>
      </c>
      <c r="B493">
        <v>-2.2818815110975158E-3</v>
      </c>
      <c r="C493">
        <f t="shared" si="30"/>
        <v>9815.6705359416719</v>
      </c>
      <c r="D493">
        <f t="shared" si="31"/>
        <v>11148.146744282369</v>
      </c>
      <c r="E493">
        <f t="shared" si="28"/>
        <v>-0.11952445898903274</v>
      </c>
      <c r="F493" s="1">
        <f t="shared" si="29"/>
        <v>-1.8432946405832817E-2</v>
      </c>
    </row>
    <row r="494" spans="1:6" x14ac:dyDescent="0.35">
      <c r="A494" s="2">
        <v>44970</v>
      </c>
      <c r="B494">
        <v>6.4038773088613164E-3</v>
      </c>
      <c r="C494">
        <f t="shared" si="30"/>
        <v>9878.5288857580472</v>
      </c>
      <c r="D494">
        <f t="shared" si="31"/>
        <v>11148.146744282369</v>
      </c>
      <c r="E494">
        <f t="shared" si="28"/>
        <v>-0.1138860016509452</v>
      </c>
      <c r="F494" s="1">
        <f t="shared" si="29"/>
        <v>-1.2147111424195334E-2</v>
      </c>
    </row>
    <row r="495" spans="1:6" x14ac:dyDescent="0.35">
      <c r="A495" s="2">
        <v>44971</v>
      </c>
      <c r="B495">
        <v>-5.323127459228832E-4</v>
      </c>
      <c r="C495">
        <f t="shared" si="30"/>
        <v>9873.2704189211909</v>
      </c>
      <c r="D495">
        <f t="shared" si="31"/>
        <v>11148.146744282369</v>
      </c>
      <c r="E495">
        <f t="shared" si="28"/>
        <v>-0.11435769142660712</v>
      </c>
      <c r="F495" s="1">
        <f t="shared" si="29"/>
        <v>-1.2672958107880938E-2</v>
      </c>
    </row>
    <row r="496" spans="1:6" x14ac:dyDescent="0.35">
      <c r="A496" s="2">
        <v>44972</v>
      </c>
      <c r="B496">
        <v>-2.1837376608517E-3</v>
      </c>
      <c r="C496">
        <f t="shared" si="30"/>
        <v>9851.7097864716197</v>
      </c>
      <c r="D496">
        <f t="shared" si="31"/>
        <v>11148.146744282369</v>
      </c>
      <c r="E496">
        <f t="shared" si="28"/>
        <v>-0.11629170188988247</v>
      </c>
      <c r="F496" s="1">
        <f t="shared" si="29"/>
        <v>-1.4829021352838034E-2</v>
      </c>
    </row>
    <row r="497" spans="1:6" x14ac:dyDescent="0.35">
      <c r="A497" s="2">
        <v>44973</v>
      </c>
      <c r="B497">
        <v>-7.8103029108861823E-3</v>
      </c>
      <c r="C497">
        <f t="shared" si="30"/>
        <v>9774.7649488491352</v>
      </c>
      <c r="D497">
        <f t="shared" si="31"/>
        <v>11148.146744282369</v>
      </c>
      <c r="E497">
        <f t="shared" si="28"/>
        <v>-0.12319373138298617</v>
      </c>
      <c r="F497" s="1">
        <f t="shared" si="29"/>
        <v>-2.2523505115086495E-2</v>
      </c>
    </row>
    <row r="498" spans="1:6" x14ac:dyDescent="0.35">
      <c r="A498" s="2">
        <v>44974</v>
      </c>
      <c r="B498">
        <v>-4.344978628157417E-4</v>
      </c>
      <c r="C498">
        <f t="shared" si="30"/>
        <v>9770.5178343693333</v>
      </c>
      <c r="D498">
        <f t="shared" si="31"/>
        <v>11148.146744282369</v>
      </c>
      <c r="E498">
        <f t="shared" si="28"/>
        <v>-0.12357470183280372</v>
      </c>
      <c r="F498" s="1">
        <f t="shared" si="29"/>
        <v>-2.294821656306667E-2</v>
      </c>
    </row>
    <row r="499" spans="1:6" x14ac:dyDescent="0.35">
      <c r="A499" s="2">
        <v>44978</v>
      </c>
      <c r="B499">
        <v>-1.4944955227347271E-2</v>
      </c>
      <c r="C499">
        <f t="shared" si="30"/>
        <v>9624.4978827866853</v>
      </c>
      <c r="D499">
        <f t="shared" si="31"/>
        <v>11148.146744282369</v>
      </c>
      <c r="E499">
        <f t="shared" si="28"/>
        <v>-0.13667283867402702</v>
      </c>
      <c r="F499" s="1">
        <f t="shared" si="29"/>
        <v>-3.7550211721331439E-2</v>
      </c>
    </row>
    <row r="500" spans="1:6" x14ac:dyDescent="0.35">
      <c r="A500" s="2">
        <v>44979</v>
      </c>
      <c r="B500">
        <v>-1.3025544379689749E-3</v>
      </c>
      <c r="C500">
        <f t="shared" si="30"/>
        <v>9611.9614503562389</v>
      </c>
      <c r="D500">
        <f t="shared" si="31"/>
        <v>11148.146744282369</v>
      </c>
      <c r="E500">
        <f t="shared" si="28"/>
        <v>-0.1377973692994312</v>
      </c>
      <c r="F500" s="1">
        <f t="shared" si="29"/>
        <v>-3.8803854964376105E-2</v>
      </c>
    </row>
    <row r="501" spans="1:6" x14ac:dyDescent="0.35">
      <c r="A501" s="2">
        <v>44980</v>
      </c>
      <c r="B501">
        <v>6.4326541711507666E-3</v>
      </c>
      <c r="C501">
        <f t="shared" si="30"/>
        <v>9673.7918742728143</v>
      </c>
      <c r="D501">
        <f t="shared" si="31"/>
        <v>11148.146744282369</v>
      </c>
      <c r="E501">
        <f t="shared" si="28"/>
        <v>-0.13225111795067801</v>
      </c>
      <c r="F501" s="1">
        <f t="shared" si="29"/>
        <v>-3.2620812572718538E-2</v>
      </c>
    </row>
    <row r="502" spans="1:6" x14ac:dyDescent="0.35">
      <c r="A502" s="2">
        <v>44981</v>
      </c>
      <c r="B502">
        <v>-1.1382027877273E-2</v>
      </c>
      <c r="C502">
        <f t="shared" si="30"/>
        <v>9563.6845054809037</v>
      </c>
      <c r="D502">
        <f t="shared" si="31"/>
        <v>11148.146744282369</v>
      </c>
      <c r="E502">
        <f t="shared" si="28"/>
        <v>-0.1421278599166359</v>
      </c>
      <c r="F502" s="1">
        <f t="shared" si="29"/>
        <v>-4.3631549451909613E-2</v>
      </c>
    </row>
    <row r="503" spans="1:6" x14ac:dyDescent="0.35">
      <c r="A503" s="2">
        <v>44984</v>
      </c>
      <c r="B503">
        <v>4.1923652066533082E-3</v>
      </c>
      <c r="C503">
        <f t="shared" si="30"/>
        <v>9603.7789636490907</v>
      </c>
      <c r="D503">
        <f t="shared" si="31"/>
        <v>11148.146744282369</v>
      </c>
      <c r="E503">
        <f t="shared" si="28"/>
        <v>-0.13853134660479327</v>
      </c>
      <c r="F503" s="1">
        <f t="shared" si="29"/>
        <v>-3.9622103635090888E-2</v>
      </c>
    </row>
    <row r="504" spans="1:6" x14ac:dyDescent="0.35">
      <c r="A504" s="2">
        <v>44985</v>
      </c>
      <c r="B504">
        <v>-7.1008711157725317E-4</v>
      </c>
      <c r="C504">
        <f t="shared" si="30"/>
        <v>9596.959443984566</v>
      </c>
      <c r="D504">
        <f t="shared" si="31"/>
        <v>11148.146744282369</v>
      </c>
      <c r="E504">
        <f t="shared" si="28"/>
        <v>-0.13914306439259705</v>
      </c>
      <c r="F504" s="1">
        <f t="shared" si="29"/>
        <v>-4.0304055601543376E-2</v>
      </c>
    </row>
    <row r="505" spans="1:6" x14ac:dyDescent="0.35">
      <c r="A505" s="2">
        <v>44986</v>
      </c>
      <c r="B505">
        <v>-9.9399818046633052E-5</v>
      </c>
      <c r="C505">
        <f t="shared" si="30"/>
        <v>9596.0055079620324</v>
      </c>
      <c r="D505">
        <f t="shared" si="31"/>
        <v>11148.146744282369</v>
      </c>
      <c r="E505">
        <f t="shared" si="28"/>
        <v>-0.13922863341536063</v>
      </c>
      <c r="F505" s="1">
        <f t="shared" si="29"/>
        <v>-4.0399449203796789E-2</v>
      </c>
    </row>
    <row r="506" spans="1:6" x14ac:dyDescent="0.35">
      <c r="A506" s="2">
        <v>44987</v>
      </c>
      <c r="B506">
        <v>1.7097381953615669E-3</v>
      </c>
      <c r="C506">
        <f t="shared" si="30"/>
        <v>9612.4121651018941</v>
      </c>
      <c r="D506">
        <f t="shared" si="31"/>
        <v>11148.146744282369</v>
      </c>
      <c r="E506">
        <f t="shared" si="28"/>
        <v>-0.13775693973243741</v>
      </c>
      <c r="F506" s="1">
        <f t="shared" si="29"/>
        <v>-3.8758783489810544E-2</v>
      </c>
    </row>
    <row r="507" spans="1:6" x14ac:dyDescent="0.35">
      <c r="A507" s="2">
        <v>44988</v>
      </c>
      <c r="B507">
        <v>1.4145040132205531E-2</v>
      </c>
      <c r="C507">
        <f t="shared" si="30"/>
        <v>9748.3801209445628</v>
      </c>
      <c r="D507">
        <f t="shared" si="31"/>
        <v>11148.146744282369</v>
      </c>
      <c r="E507">
        <f t="shared" si="28"/>
        <v>-0.12556047704123685</v>
      </c>
      <c r="F507" s="1">
        <f t="shared" si="29"/>
        <v>-2.5161987905543692E-2</v>
      </c>
    </row>
    <row r="508" spans="1:6" x14ac:dyDescent="0.35">
      <c r="A508" s="2">
        <v>44991</v>
      </c>
      <c r="B508">
        <v>-3.750542783074792E-3</v>
      </c>
      <c r="C508">
        <f t="shared" si="30"/>
        <v>9711.8184042352841</v>
      </c>
      <c r="D508">
        <f t="shared" si="31"/>
        <v>11148.146744282369</v>
      </c>
      <c r="E508">
        <f t="shared" si="28"/>
        <v>-0.12884009988330525</v>
      </c>
      <c r="F508" s="1">
        <f t="shared" si="29"/>
        <v>-2.8818159576471603E-2</v>
      </c>
    </row>
    <row r="509" spans="1:6" x14ac:dyDescent="0.35">
      <c r="A509" s="2">
        <v>44992</v>
      </c>
      <c r="B509">
        <v>-1.1473451665889971E-2</v>
      </c>
      <c r="C509">
        <f t="shared" si="30"/>
        <v>9600.3903251863903</v>
      </c>
      <c r="D509">
        <f t="shared" si="31"/>
        <v>11148.146744282369</v>
      </c>
      <c r="E509">
        <f t="shared" si="28"/>
        <v>-0.13883531089055567</v>
      </c>
      <c r="F509" s="1">
        <f t="shared" si="29"/>
        <v>-3.9960967481361021E-2</v>
      </c>
    </row>
    <row r="510" spans="1:6" x14ac:dyDescent="0.35">
      <c r="A510" s="2">
        <v>44993</v>
      </c>
      <c r="B510">
        <v>1.382245305868425E-3</v>
      </c>
      <c r="C510">
        <f t="shared" si="30"/>
        <v>9613.6604196478838</v>
      </c>
      <c r="D510">
        <f t="shared" si="31"/>
        <v>11148.146744282369</v>
      </c>
      <c r="E510">
        <f t="shared" si="28"/>
        <v>-0.13764497004145448</v>
      </c>
      <c r="F510" s="1">
        <f t="shared" si="29"/>
        <v>-3.8633958035211635E-2</v>
      </c>
    </row>
    <row r="511" spans="1:6" x14ac:dyDescent="0.35">
      <c r="A511" s="2">
        <v>44994</v>
      </c>
      <c r="B511">
        <v>-9.6769066038604832E-3</v>
      </c>
      <c r="C511">
        <f t="shared" si="30"/>
        <v>9520.6299256457223</v>
      </c>
      <c r="D511">
        <f t="shared" si="31"/>
        <v>11148.146744282369</v>
      </c>
      <c r="E511">
        <f t="shared" si="28"/>
        <v>-0.14598989912573257</v>
      </c>
      <c r="F511" s="1">
        <f t="shared" si="29"/>
        <v>-4.7937007435427725E-2</v>
      </c>
    </row>
    <row r="512" spans="1:6" x14ac:dyDescent="0.35">
      <c r="A512" s="2">
        <v>44995</v>
      </c>
      <c r="B512">
        <v>-5.6270143346844135E-4</v>
      </c>
      <c r="C512">
        <f t="shared" si="30"/>
        <v>9515.2726535390393</v>
      </c>
      <c r="D512">
        <f t="shared" si="31"/>
        <v>11148.146744282369</v>
      </c>
      <c r="E512">
        <f t="shared" si="28"/>
        <v>-0.14647045183369101</v>
      </c>
      <c r="F512" s="1">
        <f t="shared" si="29"/>
        <v>-4.8472734646096027E-2</v>
      </c>
    </row>
    <row r="513" spans="1:6" x14ac:dyDescent="0.35">
      <c r="A513" s="2">
        <v>44998</v>
      </c>
      <c r="B513">
        <v>1.9967572010287159E-3</v>
      </c>
      <c r="C513">
        <f t="shared" si="30"/>
        <v>9534.2723427297442</v>
      </c>
      <c r="D513">
        <f t="shared" si="31"/>
        <v>11148.146744282369</v>
      </c>
      <c r="E513">
        <f t="shared" si="28"/>
        <v>-0.14476616056209912</v>
      </c>
      <c r="F513" s="1">
        <f t="shared" si="29"/>
        <v>-4.6572765727025622E-2</v>
      </c>
    </row>
    <row r="514" spans="1:6" x14ac:dyDescent="0.35">
      <c r="A514" s="2">
        <v>44999</v>
      </c>
      <c r="B514">
        <v>3.4492274937998921E-3</v>
      </c>
      <c r="C514">
        <f t="shared" si="30"/>
        <v>9567.1582170276633</v>
      </c>
      <c r="D514">
        <f t="shared" si="31"/>
        <v>11148.146744282369</v>
      </c>
      <c r="E514">
        <f t="shared" si="28"/>
        <v>-0.14181626448948192</v>
      </c>
      <c r="F514" s="1">
        <f t="shared" si="29"/>
        <v>-4.3284178297233633E-2</v>
      </c>
    </row>
    <row r="515" spans="1:6" x14ac:dyDescent="0.35">
      <c r="A515" s="2">
        <v>45000</v>
      </c>
      <c r="B515">
        <v>-3.476623389319275E-3</v>
      </c>
      <c r="C515">
        <f t="shared" si="30"/>
        <v>9533.8968110010264</v>
      </c>
      <c r="D515">
        <f t="shared" si="31"/>
        <v>11148.146744282369</v>
      </c>
      <c r="E515">
        <f t="shared" ref="E515:E578" si="32">(C515/D515)-1</f>
        <v>-0.14479984613669128</v>
      </c>
      <c r="F515" s="1">
        <f t="shared" ref="F515:F578" si="33">C515/$C$2-1</f>
        <v>-4.6610318899897307E-2</v>
      </c>
    </row>
    <row r="516" spans="1:6" x14ac:dyDescent="0.35">
      <c r="A516" s="2">
        <v>45001</v>
      </c>
      <c r="B516">
        <v>6.6298294337458086E-3</v>
      </c>
      <c r="C516">
        <f t="shared" ref="C516:C579" si="34">C515*(1+B516)</f>
        <v>9597.1049206968964</v>
      </c>
      <c r="D516">
        <f t="shared" ref="D516:D579" si="35">MAX(D515,C516)</f>
        <v>11148.146744282369</v>
      </c>
      <c r="E516">
        <f t="shared" si="32"/>
        <v>-0.13913001498486433</v>
      </c>
      <c r="F516" s="1">
        <f t="shared" si="33"/>
        <v>-4.0289507930310386E-2</v>
      </c>
    </row>
    <row r="517" spans="1:6" x14ac:dyDescent="0.35">
      <c r="A517" s="2">
        <v>45002</v>
      </c>
      <c r="B517">
        <v>-2.6791529403977919E-3</v>
      </c>
      <c r="C517">
        <f t="shared" si="34"/>
        <v>9571.3928088293051</v>
      </c>
      <c r="D517">
        <f t="shared" si="35"/>
        <v>11148.146744282369</v>
      </c>
      <c r="E517">
        <f t="shared" si="32"/>
        <v>-0.14143641733651779</v>
      </c>
      <c r="F517" s="1">
        <f t="shared" si="33"/>
        <v>-4.2860719117069457E-2</v>
      </c>
    </row>
    <row r="518" spans="1:6" x14ac:dyDescent="0.35">
      <c r="A518" s="2">
        <v>45005</v>
      </c>
      <c r="B518">
        <v>3.5613184079133081E-3</v>
      </c>
      <c r="C518">
        <f t="shared" si="34"/>
        <v>9605.4795862287574</v>
      </c>
      <c r="D518">
        <f t="shared" si="35"/>
        <v>11148.146744282369</v>
      </c>
      <c r="E518">
        <f t="shared" si="32"/>
        <v>-0.13837879904521444</v>
      </c>
      <c r="F518" s="1">
        <f t="shared" si="33"/>
        <v>-3.9452041377124214E-2</v>
      </c>
    </row>
    <row r="519" spans="1:6" x14ac:dyDescent="0.35">
      <c r="A519" s="2">
        <v>45006</v>
      </c>
      <c r="B519">
        <v>4.054653691367374E-3</v>
      </c>
      <c r="C519">
        <f t="shared" si="34"/>
        <v>9644.4264794904157</v>
      </c>
      <c r="D519">
        <f t="shared" si="35"/>
        <v>11148.146744282369</v>
      </c>
      <c r="E519">
        <f t="shared" si="32"/>
        <v>-0.13488522346220255</v>
      </c>
      <c r="F519" s="1">
        <f t="shared" si="33"/>
        <v>-3.5557352050958446E-2</v>
      </c>
    </row>
    <row r="520" spans="1:6" x14ac:dyDescent="0.35">
      <c r="A520" s="2">
        <v>45007</v>
      </c>
      <c r="B520">
        <v>-3.5814323619995331E-3</v>
      </c>
      <c r="C520">
        <f t="shared" si="34"/>
        <v>9609.8856183838434</v>
      </c>
      <c r="D520">
        <f t="shared" si="35"/>
        <v>11148.146744282369</v>
      </c>
      <c r="E520">
        <f t="shared" si="32"/>
        <v>-0.137983573519739</v>
      </c>
      <c r="F520" s="1">
        <f t="shared" si="33"/>
        <v>-3.9011438161615675E-2</v>
      </c>
    </row>
    <row r="521" spans="1:6" x14ac:dyDescent="0.35">
      <c r="A521" s="2">
        <v>45008</v>
      </c>
      <c r="B521">
        <v>2.7037245981902411E-3</v>
      </c>
      <c r="C521">
        <f t="shared" si="34"/>
        <v>9635.8681025160622</v>
      </c>
      <c r="D521">
        <f t="shared" si="35"/>
        <v>11148.146744282369</v>
      </c>
      <c r="E521">
        <f t="shared" si="32"/>
        <v>-0.13565291850342032</v>
      </c>
      <c r="F521" s="1">
        <f t="shared" si="33"/>
        <v>-3.6413189748393804E-2</v>
      </c>
    </row>
    <row r="522" spans="1:6" x14ac:dyDescent="0.35">
      <c r="A522" s="2">
        <v>45009</v>
      </c>
      <c r="B522">
        <v>3.206931349449142E-3</v>
      </c>
      <c r="C522">
        <f t="shared" si="34"/>
        <v>9666.7696700131783</v>
      </c>
      <c r="D522">
        <f t="shared" si="35"/>
        <v>11148.146744282369</v>
      </c>
      <c r="E522">
        <f t="shared" si="32"/>
        <v>-0.13288101675096398</v>
      </c>
      <c r="F522" s="1">
        <f t="shared" si="33"/>
        <v>-3.3323032998682223E-2</v>
      </c>
    </row>
    <row r="523" spans="1:6" x14ac:dyDescent="0.35">
      <c r="A523" s="2">
        <v>45012</v>
      </c>
      <c r="B523">
        <v>-2.644697021326092E-3</v>
      </c>
      <c r="C523">
        <f t="shared" si="34"/>
        <v>9641.2039930610499</v>
      </c>
      <c r="D523">
        <f t="shared" si="35"/>
        <v>11148.146744282369</v>
      </c>
      <c r="E523">
        <f t="shared" si="32"/>
        <v>-0.13517428374309792</v>
      </c>
      <c r="F523" s="1">
        <f t="shared" si="33"/>
        <v>-3.5879600693895064E-2</v>
      </c>
    </row>
    <row r="524" spans="1:6" x14ac:dyDescent="0.35">
      <c r="A524" s="2">
        <v>45013</v>
      </c>
      <c r="B524">
        <v>1.268196184752458E-3</v>
      </c>
      <c r="C524">
        <f t="shared" si="34"/>
        <v>9653.4309311814704</v>
      </c>
      <c r="D524">
        <f t="shared" si="35"/>
        <v>11148.146744282369</v>
      </c>
      <c r="E524">
        <f t="shared" si="32"/>
        <v>-0.13407751506926513</v>
      </c>
      <c r="F524" s="1">
        <f t="shared" si="33"/>
        <v>-3.4656906881852967E-2</v>
      </c>
    </row>
    <row r="525" spans="1:6" x14ac:dyDescent="0.35">
      <c r="A525" s="2">
        <v>45014</v>
      </c>
      <c r="B525">
        <v>6.9405692528233497E-3</v>
      </c>
      <c r="C525">
        <f t="shared" si="34"/>
        <v>9720.431237086681</v>
      </c>
      <c r="D525">
        <f t="shared" si="35"/>
        <v>11148.146744282369</v>
      </c>
      <c r="E525">
        <f t="shared" si="32"/>
        <v>-0.12806752009502664</v>
      </c>
      <c r="F525" s="1">
        <f t="shared" si="33"/>
        <v>-2.7956876291331922E-2</v>
      </c>
    </row>
    <row r="526" spans="1:6" x14ac:dyDescent="0.35">
      <c r="A526" s="2">
        <v>45015</v>
      </c>
      <c r="B526">
        <v>6.5344040054425004E-3</v>
      </c>
      <c r="C526">
        <f t="shared" si="34"/>
        <v>9783.9484618969291</v>
      </c>
      <c r="D526">
        <f t="shared" si="35"/>
        <v>11148.146744282369</v>
      </c>
      <c r="E526">
        <f t="shared" si="32"/>
        <v>-0.12236996100586006</v>
      </c>
      <c r="F526" s="1">
        <f t="shared" si="33"/>
        <v>-2.1605153810307143E-2</v>
      </c>
    </row>
    <row r="527" spans="1:6" x14ac:dyDescent="0.35">
      <c r="A527" s="2">
        <v>45016</v>
      </c>
      <c r="B527">
        <v>9.8968568811752412E-3</v>
      </c>
      <c r="C527">
        <f t="shared" si="34"/>
        <v>9880.778799557118</v>
      </c>
      <c r="D527">
        <f t="shared" si="35"/>
        <v>11148.146744282369</v>
      </c>
      <c r="E527">
        <f t="shared" si="32"/>
        <v>-0.11368418211531484</v>
      </c>
      <c r="F527" s="1">
        <f t="shared" si="33"/>
        <v>-1.1922120044288165E-2</v>
      </c>
    </row>
    <row r="528" spans="1:6" x14ac:dyDescent="0.35">
      <c r="A528" s="2">
        <v>45019</v>
      </c>
      <c r="B528">
        <v>3.516051605828558E-3</v>
      </c>
      <c r="C528">
        <f t="shared" si="34"/>
        <v>9915.5201277221386</v>
      </c>
      <c r="D528">
        <f t="shared" si="35"/>
        <v>11148.146744282369</v>
      </c>
      <c r="E528">
        <f t="shared" si="32"/>
        <v>-0.11056784996057001</v>
      </c>
      <c r="F528" s="1">
        <f t="shared" si="33"/>
        <v>-8.447987227786169E-3</v>
      </c>
    </row>
    <row r="529" spans="1:6" x14ac:dyDescent="0.35">
      <c r="A529" s="2">
        <v>45020</v>
      </c>
      <c r="B529">
        <v>-4.1643442457358249E-5</v>
      </c>
      <c r="C529">
        <f t="shared" si="34"/>
        <v>9915.1072113302653</v>
      </c>
      <c r="D529">
        <f t="shared" si="35"/>
        <v>11148.146744282369</v>
      </c>
      <c r="E529">
        <f t="shared" si="32"/>
        <v>-0.11060488897712983</v>
      </c>
      <c r="F529" s="1">
        <f t="shared" si="33"/>
        <v>-8.489278866973482E-3</v>
      </c>
    </row>
    <row r="530" spans="1:6" x14ac:dyDescent="0.35">
      <c r="A530" s="2">
        <v>45021</v>
      </c>
      <c r="B530">
        <v>-2.2640488441811831E-3</v>
      </c>
      <c r="C530">
        <f t="shared" si="34"/>
        <v>9892.65892430852</v>
      </c>
      <c r="D530">
        <f t="shared" si="35"/>
        <v>11148.146744282369</v>
      </c>
      <c r="E530">
        <f t="shared" si="32"/>
        <v>-0.11261852295026165</v>
      </c>
      <c r="F530" s="1">
        <f t="shared" si="33"/>
        <v>-1.0734107569148055E-2</v>
      </c>
    </row>
    <row r="531" spans="1:6" x14ac:dyDescent="0.35">
      <c r="A531" s="2">
        <v>45022</v>
      </c>
      <c r="B531">
        <v>2.0160177831231082E-3</v>
      </c>
      <c r="C531">
        <f t="shared" si="34"/>
        <v>9912.6027006222994</v>
      </c>
      <c r="D531">
        <f t="shared" si="35"/>
        <v>11148.146744282369</v>
      </c>
      <c r="E531">
        <f t="shared" si="32"/>
        <v>-0.11082954611211515</v>
      </c>
      <c r="F531" s="1">
        <f t="shared" si="33"/>
        <v>-8.7397299377700577E-3</v>
      </c>
    </row>
    <row r="532" spans="1:6" x14ac:dyDescent="0.35">
      <c r="A532" s="2">
        <v>45026</v>
      </c>
      <c r="B532">
        <v>-1.9037683542806509E-3</v>
      </c>
      <c r="C532">
        <f t="shared" si="34"/>
        <v>9893.731401292298</v>
      </c>
      <c r="D532">
        <f t="shared" si="35"/>
        <v>11148.146744282369</v>
      </c>
      <c r="E532">
        <f t="shared" si="32"/>
        <v>-0.11252232068378831</v>
      </c>
      <c r="F532" s="1">
        <f t="shared" si="33"/>
        <v>-1.0626859870770167E-2</v>
      </c>
    </row>
    <row r="533" spans="1:6" x14ac:dyDescent="0.35">
      <c r="A533" s="2">
        <v>45027</v>
      </c>
      <c r="B533">
        <v>2.5540474750033672E-3</v>
      </c>
      <c r="C533">
        <f t="shared" si="34"/>
        <v>9919.0004609961306</v>
      </c>
      <c r="D533">
        <f t="shared" si="35"/>
        <v>11148.146744282369</v>
      </c>
      <c r="E533">
        <f t="shared" si="32"/>
        <v>-0.11025566055780878</v>
      </c>
      <c r="F533" s="1">
        <f t="shared" si="33"/>
        <v>-8.0999539003869803E-3</v>
      </c>
    </row>
    <row r="534" spans="1:6" x14ac:dyDescent="0.35">
      <c r="A534" s="2">
        <v>45028</v>
      </c>
      <c r="B534">
        <v>-1.124612480547916E-3</v>
      </c>
      <c r="C534">
        <f t="shared" si="34"/>
        <v>9907.8454292831339</v>
      </c>
      <c r="D534">
        <f t="shared" si="35"/>
        <v>11148.146744282369</v>
      </c>
      <c r="E534">
        <f t="shared" si="32"/>
        <v>-0.11125627814644234</v>
      </c>
      <c r="F534" s="1">
        <f t="shared" si="33"/>
        <v>-9.2154570716865836E-3</v>
      </c>
    </row>
    <row r="535" spans="1:6" x14ac:dyDescent="0.35">
      <c r="A535" s="2">
        <v>45029</v>
      </c>
      <c r="B535">
        <v>6.708723895502108E-3</v>
      </c>
      <c r="C535">
        <f t="shared" si="34"/>
        <v>9974.3144286675069</v>
      </c>
      <c r="D535">
        <f t="shared" si="35"/>
        <v>11148.146744282369</v>
      </c>
      <c r="E535">
        <f t="shared" si="32"/>
        <v>-0.10529394190266594</v>
      </c>
      <c r="F535" s="1">
        <f t="shared" si="33"/>
        <v>-2.5685571332493273E-3</v>
      </c>
    </row>
    <row r="536" spans="1:6" x14ac:dyDescent="0.35">
      <c r="A536" s="2">
        <v>45030</v>
      </c>
      <c r="B536">
        <v>-6.1828920476574914E-3</v>
      </c>
      <c r="C536">
        <f t="shared" si="34"/>
        <v>9912.6443193056621</v>
      </c>
      <c r="D536">
        <f t="shared" si="35"/>
        <v>11148.146744282369</v>
      </c>
      <c r="E536">
        <f t="shared" si="32"/>
        <v>-0.11082581287426696</v>
      </c>
      <c r="F536" s="1">
        <f t="shared" si="33"/>
        <v>-8.7355680694337634E-3</v>
      </c>
    </row>
    <row r="537" spans="1:6" x14ac:dyDescent="0.35">
      <c r="A537" s="2">
        <v>45033</v>
      </c>
      <c r="B537">
        <v>4.0390679483567481E-4</v>
      </c>
      <c r="C537">
        <f t="shared" si="34"/>
        <v>9916.648103701018</v>
      </c>
      <c r="D537">
        <f t="shared" si="35"/>
        <v>11148.146744282369</v>
      </c>
      <c r="E537">
        <f t="shared" si="32"/>
        <v>-0.11046666937829452</v>
      </c>
      <c r="F537" s="1">
        <f t="shared" si="33"/>
        <v>-8.3351896298982098E-3</v>
      </c>
    </row>
    <row r="538" spans="1:6" x14ac:dyDescent="0.35">
      <c r="A538" s="2">
        <v>45034</v>
      </c>
      <c r="B538">
        <v>1.124369835487003E-3</v>
      </c>
      <c r="C538">
        <f t="shared" si="34"/>
        <v>9927.7980836979586</v>
      </c>
      <c r="D538">
        <f t="shared" si="35"/>
        <v>11148.146744282369</v>
      </c>
      <c r="E538">
        <f t="shared" si="32"/>
        <v>-0.10946650493368315</v>
      </c>
      <c r="F538" s="1">
        <f t="shared" si="33"/>
        <v>-7.2201916302041536E-3</v>
      </c>
    </row>
    <row r="539" spans="1:6" x14ac:dyDescent="0.35">
      <c r="A539" s="2">
        <v>45035</v>
      </c>
      <c r="B539">
        <v>-3.1109020541586498E-3</v>
      </c>
      <c r="C539">
        <f t="shared" si="34"/>
        <v>9896.9136762461112</v>
      </c>
      <c r="D539">
        <f t="shared" si="35"/>
        <v>11148.146744282369</v>
      </c>
      <c r="E539">
        <f t="shared" si="32"/>
        <v>-0.11223686741278205</v>
      </c>
      <c r="F539" s="1">
        <f t="shared" si="33"/>
        <v>-1.0308632375388926E-2</v>
      </c>
    </row>
    <row r="540" spans="1:6" x14ac:dyDescent="0.35">
      <c r="A540" s="2">
        <v>45036</v>
      </c>
      <c r="B540">
        <v>-1.4342232802134331E-3</v>
      </c>
      <c r="C540">
        <f t="shared" si="34"/>
        <v>9882.7192922493759</v>
      </c>
      <c r="D540">
        <f t="shared" si="35"/>
        <v>11148.146744282369</v>
      </c>
      <c r="E540">
        <f t="shared" si="32"/>
        <v>-0.11351011796485377</v>
      </c>
      <c r="F540" s="1">
        <f t="shared" si="33"/>
        <v>-1.1728070775062438E-2</v>
      </c>
    </row>
    <row r="541" spans="1:6" x14ac:dyDescent="0.35">
      <c r="A541" s="2">
        <v>45037</v>
      </c>
      <c r="B541">
        <v>-1.4514852058357831E-3</v>
      </c>
      <c r="C541">
        <f t="shared" si="34"/>
        <v>9868.3746714032477</v>
      </c>
      <c r="D541">
        <f t="shared" si="35"/>
        <v>11148.146744282369</v>
      </c>
      <c r="E541">
        <f t="shared" si="32"/>
        <v>-0.11479684491375097</v>
      </c>
      <c r="F541" s="1">
        <f t="shared" si="33"/>
        <v>-1.316253285967528E-2</v>
      </c>
    </row>
    <row r="542" spans="1:6" x14ac:dyDescent="0.35">
      <c r="A542" s="2">
        <v>45040</v>
      </c>
      <c r="B542">
        <v>2.296360413543583E-3</v>
      </c>
      <c r="C542">
        <f t="shared" si="34"/>
        <v>9891.036016344673</v>
      </c>
      <c r="D542">
        <f t="shared" si="35"/>
        <v>11148.146744282369</v>
      </c>
      <c r="E542">
        <f t="shared" si="32"/>
        <v>-0.11276409943046717</v>
      </c>
      <c r="F542" s="1">
        <f t="shared" si="33"/>
        <v>-1.0896398365532689E-2</v>
      </c>
    </row>
    <row r="543" spans="1:6" x14ac:dyDescent="0.35">
      <c r="A543" s="2">
        <v>45041</v>
      </c>
      <c r="B543">
        <v>-6.9741074354772083E-3</v>
      </c>
      <c r="C543">
        <f t="shared" si="34"/>
        <v>9822.0548685185113</v>
      </c>
      <c r="D543">
        <f t="shared" si="35"/>
        <v>11148.146744282369</v>
      </c>
      <c r="E543">
        <f t="shared" si="32"/>
        <v>-0.11895177792165135</v>
      </c>
      <c r="F543" s="1">
        <f t="shared" si="33"/>
        <v>-1.7794513148148838E-2</v>
      </c>
    </row>
    <row r="544" spans="1:6" x14ac:dyDescent="0.35">
      <c r="A544" s="2">
        <v>45042</v>
      </c>
      <c r="B544">
        <v>-4.6481789024669911E-3</v>
      </c>
      <c r="C544">
        <f t="shared" si="34"/>
        <v>9776.4002002997913</v>
      </c>
      <c r="D544">
        <f t="shared" si="35"/>
        <v>11148.146744282369</v>
      </c>
      <c r="E544">
        <f t="shared" si="32"/>
        <v>-0.12304704767957197</v>
      </c>
      <c r="F544" s="1">
        <f t="shared" si="33"/>
        <v>-2.2359979970020816E-2</v>
      </c>
    </row>
    <row r="545" spans="1:6" x14ac:dyDescent="0.35">
      <c r="A545" s="2">
        <v>45043</v>
      </c>
      <c r="B545">
        <v>7.8091195874440992E-3</v>
      </c>
      <c r="C545">
        <f t="shared" si="34"/>
        <v>9852.7452785986443</v>
      </c>
      <c r="D545">
        <f t="shared" si="35"/>
        <v>11148.146744282369</v>
      </c>
      <c r="E545">
        <f t="shared" si="32"/>
        <v>-0.1161988172023396</v>
      </c>
      <c r="F545" s="1">
        <f t="shared" si="33"/>
        <v>-1.4725472140135532E-2</v>
      </c>
    </row>
    <row r="546" spans="1:6" x14ac:dyDescent="0.35">
      <c r="A546" s="2">
        <v>45044</v>
      </c>
      <c r="B546">
        <v>7.2124452102548748E-3</v>
      </c>
      <c r="C546">
        <f t="shared" si="34"/>
        <v>9923.8076640911349</v>
      </c>
      <c r="D546">
        <f t="shared" si="35"/>
        <v>11148.146744282369</v>
      </c>
      <c r="E546">
        <f t="shared" si="32"/>
        <v>-0.10982444959465298</v>
      </c>
      <c r="F546" s="1">
        <f t="shared" si="33"/>
        <v>-7.6192335908864539E-3</v>
      </c>
    </row>
    <row r="547" spans="1:6" x14ac:dyDescent="0.35">
      <c r="A547" s="2">
        <v>45047</v>
      </c>
      <c r="B547">
        <v>-7.3460782277166084E-3</v>
      </c>
      <c r="C547">
        <f t="shared" si="34"/>
        <v>9850.9065966739072</v>
      </c>
      <c r="D547">
        <f t="shared" si="35"/>
        <v>11148.146744282369</v>
      </c>
      <c r="E547">
        <f t="shared" si="32"/>
        <v>-0.11636374882433143</v>
      </c>
      <c r="F547" s="1">
        <f t="shared" si="33"/>
        <v>-1.4909340332609267E-2</v>
      </c>
    </row>
    <row r="548" spans="1:6" x14ac:dyDescent="0.35">
      <c r="A548" s="2">
        <v>45048</v>
      </c>
      <c r="B548">
        <v>-2.6308345509272E-3</v>
      </c>
      <c r="C548">
        <f t="shared" si="34"/>
        <v>9824.9904912414204</v>
      </c>
      <c r="D548">
        <f t="shared" si="35"/>
        <v>11148.146744282369</v>
      </c>
      <c r="E548">
        <f t="shared" si="32"/>
        <v>-0.11868844960437619</v>
      </c>
      <c r="F548" s="1">
        <f t="shared" si="33"/>
        <v>-1.7500950875858012E-2</v>
      </c>
    </row>
    <row r="549" spans="1:6" x14ac:dyDescent="0.35">
      <c r="A549" s="2">
        <v>45049</v>
      </c>
      <c r="B549">
        <v>-3.015845602230918E-4</v>
      </c>
      <c r="C549">
        <f t="shared" si="34"/>
        <v>9822.027425804923</v>
      </c>
      <c r="D549">
        <f t="shared" si="35"/>
        <v>11148.146744282369</v>
      </c>
      <c r="E549">
        <f t="shared" si="32"/>
        <v>-0.11895423956072182</v>
      </c>
      <c r="F549" s="1">
        <f t="shared" si="33"/>
        <v>-1.7797257419507662E-2</v>
      </c>
    </row>
    <row r="550" spans="1:6" x14ac:dyDescent="0.35">
      <c r="A550" s="2">
        <v>45050</v>
      </c>
      <c r="B550">
        <v>-1.0250772217770671E-3</v>
      </c>
      <c r="C550">
        <f t="shared" si="34"/>
        <v>9811.9590892190608</v>
      </c>
      <c r="D550">
        <f t="shared" si="35"/>
        <v>11148.146744282369</v>
      </c>
      <c r="E550">
        <f t="shared" si="32"/>
        <v>-0.11985737950109132</v>
      </c>
      <c r="F550" s="1">
        <f t="shared" si="33"/>
        <v>-1.8804091078093887E-2</v>
      </c>
    </row>
    <row r="551" spans="1:6" x14ac:dyDescent="0.35">
      <c r="A551" s="2">
        <v>45051</v>
      </c>
      <c r="B551">
        <v>8.9897766475493732E-3</v>
      </c>
      <c r="C551">
        <f t="shared" si="34"/>
        <v>9900.1664099060308</v>
      </c>
      <c r="D551">
        <f t="shared" si="35"/>
        <v>11148.146744282369</v>
      </c>
      <c r="E551">
        <f t="shared" si="32"/>
        <v>-0.11194509392481744</v>
      </c>
      <c r="F551" s="1">
        <f t="shared" si="33"/>
        <v>-9.9833590093969526E-3</v>
      </c>
    </row>
    <row r="552" spans="1:6" x14ac:dyDescent="0.35">
      <c r="A552" s="2">
        <v>45054</v>
      </c>
      <c r="B552">
        <v>-2.3918887958979751E-3</v>
      </c>
      <c r="C552">
        <f t="shared" si="34"/>
        <v>9876.486312792651</v>
      </c>
      <c r="D552">
        <f t="shared" si="35"/>
        <v>11148.146744282369</v>
      </c>
      <c r="E552">
        <f t="shared" si="32"/>
        <v>-0.11406922250480089</v>
      </c>
      <c r="F552" s="1">
        <f t="shared" si="33"/>
        <v>-1.2351368720734945E-2</v>
      </c>
    </row>
    <row r="553" spans="1:6" x14ac:dyDescent="0.35">
      <c r="A553" s="2">
        <v>45055</v>
      </c>
      <c r="B553">
        <v>-2.142428551817825E-3</v>
      </c>
      <c r="C553">
        <f t="shared" si="34"/>
        <v>9855.3266465244869</v>
      </c>
      <c r="D553">
        <f t="shared" si="35"/>
        <v>11148.146744282369</v>
      </c>
      <c r="E553">
        <f t="shared" si="32"/>
        <v>-0.11596726589744077</v>
      </c>
      <c r="F553" s="1">
        <f t="shared" si="33"/>
        <v>-1.4467335347551291E-2</v>
      </c>
    </row>
    <row r="554" spans="1:6" x14ac:dyDescent="0.35">
      <c r="A554" s="2">
        <v>45056</v>
      </c>
      <c r="B554">
        <v>4.5321252869548164E-3</v>
      </c>
      <c r="C554">
        <f t="shared" si="34"/>
        <v>9899.9922216304003</v>
      </c>
      <c r="D554">
        <f t="shared" si="35"/>
        <v>11148.146744282369</v>
      </c>
      <c r="E554">
        <f t="shared" si="32"/>
        <v>-0.11196071878871872</v>
      </c>
      <c r="F554" s="1">
        <f t="shared" si="33"/>
        <v>-1.0000777836959962E-2</v>
      </c>
    </row>
    <row r="555" spans="1:6" x14ac:dyDescent="0.35">
      <c r="A555" s="2">
        <v>45057</v>
      </c>
      <c r="B555">
        <v>-2.700282104659116E-3</v>
      </c>
      <c r="C555">
        <f t="shared" si="34"/>
        <v>9873.2594497980681</v>
      </c>
      <c r="D555">
        <f t="shared" si="35"/>
        <v>11148.146744282369</v>
      </c>
      <c r="E555">
        <f t="shared" si="32"/>
        <v>-0.11435867536800781</v>
      </c>
      <c r="F555" s="1">
        <f t="shared" si="33"/>
        <v>-1.2674055020193142E-2</v>
      </c>
    </row>
    <row r="556" spans="1:6" x14ac:dyDescent="0.35">
      <c r="A556" s="2">
        <v>45058</v>
      </c>
      <c r="B556">
        <v>-4.5267588924307661E-3</v>
      </c>
      <c r="C556">
        <f t="shared" si="34"/>
        <v>9828.5655847864182</v>
      </c>
      <c r="D556">
        <f t="shared" si="35"/>
        <v>11148.146744282369</v>
      </c>
      <c r="E556">
        <f t="shared" si="32"/>
        <v>-0.11836776010978989</v>
      </c>
      <c r="F556" s="1">
        <f t="shared" si="33"/>
        <v>-1.714344152135816E-2</v>
      </c>
    </row>
    <row r="557" spans="1:6" x14ac:dyDescent="0.35">
      <c r="A557" s="2">
        <v>45061</v>
      </c>
      <c r="B557">
        <v>3.4054473543974999E-3</v>
      </c>
      <c r="C557">
        <f t="shared" si="34"/>
        <v>9862.0362474546509</v>
      </c>
      <c r="D557">
        <f t="shared" si="35"/>
        <v>11148.146744282369</v>
      </c>
      <c r="E557">
        <f t="shared" si="32"/>
        <v>-0.11536540793090422</v>
      </c>
      <c r="F557" s="1">
        <f t="shared" si="33"/>
        <v>-1.3796375254534921E-2</v>
      </c>
    </row>
    <row r="558" spans="1:6" x14ac:dyDescent="0.35">
      <c r="A558" s="2">
        <v>45062</v>
      </c>
      <c r="B558">
        <v>-8.6192593652203997E-3</v>
      </c>
      <c r="C558">
        <f t="shared" si="34"/>
        <v>9777.0327991686354</v>
      </c>
      <c r="D558">
        <f t="shared" si="35"/>
        <v>11148.146744282369</v>
      </c>
      <c r="E558">
        <f t="shared" si="32"/>
        <v>-0.12299030292339364</v>
      </c>
      <c r="F558" s="1">
        <f t="shared" si="33"/>
        <v>-2.2296720083136434E-2</v>
      </c>
    </row>
    <row r="559" spans="1:6" x14ac:dyDescent="0.35">
      <c r="A559" s="2">
        <v>45063</v>
      </c>
      <c r="B559">
        <v>6.1867109621796951E-3</v>
      </c>
      <c r="C559">
        <f t="shared" si="34"/>
        <v>9837.5204751648416</v>
      </c>
      <c r="D559">
        <f t="shared" si="35"/>
        <v>11148.146744282369</v>
      </c>
      <c r="E559">
        <f t="shared" si="32"/>
        <v>-0.11756449741655195</v>
      </c>
      <c r="F559" s="1">
        <f t="shared" si="33"/>
        <v>-1.6247952483515848E-2</v>
      </c>
    </row>
    <row r="560" spans="1:6" x14ac:dyDescent="0.35">
      <c r="A560" s="2">
        <v>45064</v>
      </c>
      <c r="B560">
        <v>-1.398032732277367E-3</v>
      </c>
      <c r="C560">
        <f t="shared" si="34"/>
        <v>9823.7672995361118</v>
      </c>
      <c r="D560">
        <f t="shared" si="35"/>
        <v>11148.146744282369</v>
      </c>
      <c r="E560">
        <f t="shared" si="32"/>
        <v>-0.11879817113328739</v>
      </c>
      <c r="F560" s="1">
        <f t="shared" si="33"/>
        <v>-1.7623270046388861E-2</v>
      </c>
    </row>
    <row r="561" spans="1:6" x14ac:dyDescent="0.35">
      <c r="A561" s="2">
        <v>45065</v>
      </c>
      <c r="B561">
        <v>-5.9845098661762488E-4</v>
      </c>
      <c r="C561">
        <f t="shared" si="34"/>
        <v>9817.8882563034022</v>
      </c>
      <c r="D561">
        <f t="shared" si="35"/>
        <v>11148.146744282369</v>
      </c>
      <c r="E561">
        <f t="shared" si="32"/>
        <v>-0.11932552723718193</v>
      </c>
      <c r="F561" s="1">
        <f t="shared" si="33"/>
        <v>-1.8211174369659799E-2</v>
      </c>
    </row>
    <row r="562" spans="1:6" x14ac:dyDescent="0.35">
      <c r="A562" s="2">
        <v>45068</v>
      </c>
      <c r="B562">
        <v>2.312914786183408E-3</v>
      </c>
      <c r="C562">
        <f t="shared" si="34"/>
        <v>9840.5961952205016</v>
      </c>
      <c r="D562">
        <f t="shared" si="35"/>
        <v>11148.146744282369</v>
      </c>
      <c r="E562">
        <f t="shared" si="32"/>
        <v>-0.11728860222731463</v>
      </c>
      <c r="F562" s="1">
        <f t="shared" si="33"/>
        <v>-1.5940380477949878E-2</v>
      </c>
    </row>
    <row r="563" spans="1:6" x14ac:dyDescent="0.35">
      <c r="A563" s="2">
        <v>45069</v>
      </c>
      <c r="B563">
        <v>-5.1395547168365668E-3</v>
      </c>
      <c r="C563">
        <f t="shared" si="34"/>
        <v>9790.0199126288717</v>
      </c>
      <c r="D563">
        <f t="shared" si="35"/>
        <v>11148.146744282369</v>
      </c>
      <c r="E563">
        <f t="shared" si="32"/>
        <v>-0.12182534575534265</v>
      </c>
      <c r="F563" s="1">
        <f t="shared" si="33"/>
        <v>-2.0998008737112883E-2</v>
      </c>
    </row>
    <row r="564" spans="1:6" x14ac:dyDescent="0.35">
      <c r="A564" s="2">
        <v>45070</v>
      </c>
      <c r="B564">
        <v>-7.7182329396567736E-3</v>
      </c>
      <c r="C564">
        <f t="shared" si="34"/>
        <v>9714.4582584593245</v>
      </c>
      <c r="D564">
        <f t="shared" si="35"/>
        <v>11148.146744282369</v>
      </c>
      <c r="E564">
        <f t="shared" si="32"/>
        <v>-0.12860330229850536</v>
      </c>
      <c r="F564" s="1">
        <f t="shared" si="33"/>
        <v>-2.855417415406758E-2</v>
      </c>
    </row>
    <row r="565" spans="1:6" x14ac:dyDescent="0.35">
      <c r="A565" s="2">
        <v>45071</v>
      </c>
      <c r="B565">
        <v>-1.377449748417917E-3</v>
      </c>
      <c r="C565">
        <f t="shared" si="34"/>
        <v>9701.077080375193</v>
      </c>
      <c r="D565">
        <f t="shared" si="35"/>
        <v>11148.146744282369</v>
      </c>
      <c r="E565">
        <f t="shared" si="32"/>
        <v>-0.12980360746052655</v>
      </c>
      <c r="F565" s="1">
        <f t="shared" si="33"/>
        <v>-2.9892291962480666E-2</v>
      </c>
    </row>
    <row r="566" spans="1:6" x14ac:dyDescent="0.35">
      <c r="A566" s="2">
        <v>45072</v>
      </c>
      <c r="B566">
        <v>1.0767378382459969E-2</v>
      </c>
      <c r="C566">
        <f t="shared" si="34"/>
        <v>9805.5322480170034</v>
      </c>
      <c r="D566">
        <f t="shared" si="35"/>
        <v>11148.146744282369</v>
      </c>
      <c r="E566">
        <f t="shared" si="32"/>
        <v>-0.12043387363500235</v>
      </c>
      <c r="F566" s="1">
        <f t="shared" si="33"/>
        <v>-1.9446775198299626E-2</v>
      </c>
    </row>
    <row r="567" spans="1:6" x14ac:dyDescent="0.35">
      <c r="A567" s="2">
        <v>45076</v>
      </c>
      <c r="B567">
        <v>-3.3363888402584128E-4</v>
      </c>
      <c r="C567">
        <f t="shared" si="34"/>
        <v>9802.2607411804966</v>
      </c>
      <c r="D567">
        <f t="shared" si="35"/>
        <v>11148.146744282369</v>
      </c>
      <c r="E567">
        <f t="shared" si="32"/>
        <v>-0.12072733109582956</v>
      </c>
      <c r="F567" s="1">
        <f t="shared" si="33"/>
        <v>-1.9773925881950372E-2</v>
      </c>
    </row>
    <row r="568" spans="1:6" x14ac:dyDescent="0.35">
      <c r="A568" s="2">
        <v>45077</v>
      </c>
      <c r="B568">
        <v>-2.7304059709545581E-3</v>
      </c>
      <c r="C568">
        <f t="shared" si="34"/>
        <v>9775.4965899239232</v>
      </c>
      <c r="D568">
        <f t="shared" si="35"/>
        <v>11148.146744282369</v>
      </c>
      <c r="E568">
        <f t="shared" si="32"/>
        <v>-0.12312810244110273</v>
      </c>
      <c r="F568" s="1">
        <f t="shared" si="33"/>
        <v>-2.2450341007607677E-2</v>
      </c>
    </row>
    <row r="569" spans="1:6" x14ac:dyDescent="0.35">
      <c r="A569" s="2">
        <v>45078</v>
      </c>
      <c r="B569">
        <v>8.7219097231805327E-3</v>
      </c>
      <c r="C569">
        <f t="shared" si="34"/>
        <v>9860.7575886804989</v>
      </c>
      <c r="D569">
        <f t="shared" si="35"/>
        <v>11148.146744282369</v>
      </c>
      <c r="E569">
        <f t="shared" si="32"/>
        <v>-0.11548010491180005</v>
      </c>
      <c r="F569" s="1">
        <f t="shared" si="33"/>
        <v>-1.3924241131950121E-2</v>
      </c>
    </row>
    <row r="570" spans="1:6" x14ac:dyDescent="0.35">
      <c r="A570" s="2">
        <v>45079</v>
      </c>
      <c r="B570">
        <v>7.876068172076367E-3</v>
      </c>
      <c r="C570">
        <f t="shared" si="34"/>
        <v>9938.4215876772669</v>
      </c>
      <c r="D570">
        <f t="shared" si="35"/>
        <v>11148.146744282369</v>
      </c>
      <c r="E570">
        <f t="shared" si="32"/>
        <v>-0.10851356591852745</v>
      </c>
      <c r="F570" s="1">
        <f t="shared" si="33"/>
        <v>-6.1578412322733644E-3</v>
      </c>
    </row>
    <row r="571" spans="1:6" x14ac:dyDescent="0.35">
      <c r="A571" s="2">
        <v>45082</v>
      </c>
      <c r="B571">
        <v>-2.4455945183359672E-3</v>
      </c>
      <c r="C571">
        <f t="shared" si="34"/>
        <v>9914.1162383215324</v>
      </c>
      <c r="D571">
        <f t="shared" si="35"/>
        <v>11148.146744282369</v>
      </c>
      <c r="E571">
        <f t="shared" si="32"/>
        <v>-0.11069378025488785</v>
      </c>
      <c r="F571" s="1">
        <f t="shared" si="33"/>
        <v>-8.5883761678468007E-3</v>
      </c>
    </row>
    <row r="572" spans="1:6" x14ac:dyDescent="0.35">
      <c r="A572" s="2">
        <v>45083</v>
      </c>
      <c r="B572">
        <v>5.6331406974043496E-3</v>
      </c>
      <c r="C572">
        <f t="shared" si="34"/>
        <v>9969.9638499824196</v>
      </c>
      <c r="D572">
        <f t="shared" si="35"/>
        <v>11148.146744282369</v>
      </c>
      <c r="E572">
        <f t="shared" si="32"/>
        <v>-0.10568419319598676</v>
      </c>
      <c r="F572" s="1">
        <f t="shared" si="33"/>
        <v>-3.0036150017580532E-3</v>
      </c>
    </row>
    <row r="573" spans="1:6" x14ac:dyDescent="0.35">
      <c r="A573" s="2">
        <v>45084</v>
      </c>
      <c r="B573">
        <v>-3.4205123737316751E-3</v>
      </c>
      <c r="C573">
        <f t="shared" si="34"/>
        <v>9935.8614652678971</v>
      </c>
      <c r="D573">
        <f t="shared" si="35"/>
        <v>11148.146744282369</v>
      </c>
      <c r="E573">
        <f t="shared" si="32"/>
        <v>-0.10874321147918375</v>
      </c>
      <c r="F573" s="1">
        <f t="shared" si="33"/>
        <v>-6.4138534732103292E-3</v>
      </c>
    </row>
    <row r="574" spans="1:6" x14ac:dyDescent="0.35">
      <c r="A574" s="2">
        <v>45085</v>
      </c>
      <c r="B574">
        <v>6.0496757209596748E-3</v>
      </c>
      <c r="C574">
        <f t="shared" si="34"/>
        <v>9995.9702051411459</v>
      </c>
      <c r="D574">
        <f t="shared" si="35"/>
        <v>11148.146744282369</v>
      </c>
      <c r="E574">
        <f t="shared" si="32"/>
        <v>-0.10335139692452899</v>
      </c>
      <c r="F574" s="1">
        <f t="shared" si="33"/>
        <v>-4.0297948588541299E-4</v>
      </c>
    </row>
    <row r="575" spans="1:6" x14ac:dyDescent="0.35">
      <c r="A575" s="2">
        <v>45086</v>
      </c>
      <c r="B575">
        <v>-1.794175225621383E-3</v>
      </c>
      <c r="C575">
        <f t="shared" si="34"/>
        <v>9978.0356830430319</v>
      </c>
      <c r="D575">
        <f t="shared" si="35"/>
        <v>11148.146744282369</v>
      </c>
      <c r="E575">
        <f t="shared" si="32"/>
        <v>-0.10496014163425504</v>
      </c>
      <c r="F575" s="1">
        <f t="shared" si="33"/>
        <v>-2.1964316956968322E-3</v>
      </c>
    </row>
    <row r="576" spans="1:6" x14ac:dyDescent="0.35">
      <c r="A576" s="2">
        <v>45089</v>
      </c>
      <c r="B576">
        <v>2.4051593084466081E-3</v>
      </c>
      <c r="C576">
        <f t="shared" si="34"/>
        <v>10002.034448446115</v>
      </c>
      <c r="D576">
        <f t="shared" si="35"/>
        <v>11148.146744282369</v>
      </c>
      <c r="E576">
        <f t="shared" si="32"/>
        <v>-0.10280742818747601</v>
      </c>
      <c r="F576" s="1">
        <f t="shared" si="33"/>
        <v>2.0344484461154444E-4</v>
      </c>
    </row>
    <row r="577" spans="1:6" x14ac:dyDescent="0.35">
      <c r="A577" s="2">
        <v>45090</v>
      </c>
      <c r="B577">
        <v>3.118712214913767E-3</v>
      </c>
      <c r="C577">
        <f t="shared" si="34"/>
        <v>10033.22791545447</v>
      </c>
      <c r="D577">
        <f t="shared" si="35"/>
        <v>11148.146744282369</v>
      </c>
      <c r="E577">
        <f t="shared" si="32"/>
        <v>-0.10000934275463447</v>
      </c>
      <c r="F577" s="1">
        <f t="shared" si="33"/>
        <v>3.3227915454470125E-3</v>
      </c>
    </row>
    <row r="578" spans="1:6" x14ac:dyDescent="0.35">
      <c r="A578" s="2">
        <v>45091</v>
      </c>
      <c r="B578">
        <v>2.3503001839609672E-3</v>
      </c>
      <c r="C578">
        <f t="shared" si="34"/>
        <v>10056.809012869884</v>
      </c>
      <c r="D578">
        <f t="shared" si="35"/>
        <v>11148.146744282369</v>
      </c>
      <c r="E578">
        <f t="shared" si="32"/>
        <v>-9.7894094547347654E-2</v>
      </c>
      <c r="F578" s="1">
        <f t="shared" si="33"/>
        <v>5.6809012869885045E-3</v>
      </c>
    </row>
    <row r="579" spans="1:6" x14ac:dyDescent="0.35">
      <c r="A579" s="2">
        <v>45092</v>
      </c>
      <c r="B579">
        <v>9.7335296399829567E-3</v>
      </c>
      <c r="C579">
        <f t="shared" si="34"/>
        <v>10154.697261480302</v>
      </c>
      <c r="D579">
        <f t="shared" si="35"/>
        <v>11148.146744282369</v>
      </c>
      <c r="E579">
        <f t="shared" ref="E579:E642" si="36">(C579/D579)-1</f>
        <v>-8.9113419978220532E-2</v>
      </c>
      <c r="F579" s="1">
        <f t="shared" ref="F579:F642" si="37">C579/$C$2-1</f>
        <v>1.5469726148030105E-2</v>
      </c>
    </row>
    <row r="580" spans="1:6" x14ac:dyDescent="0.35">
      <c r="A580" s="2">
        <v>45093</v>
      </c>
      <c r="B580">
        <v>-2.126988010845517E-3</v>
      </c>
      <c r="C580">
        <f t="shared" ref="C580:C643" si="38">C579*(1+B580)</f>
        <v>10133.098342151367</v>
      </c>
      <c r="D580">
        <f t="shared" ref="D580:D643" si="39">MAX(D579,C580)</f>
        <v>11148.146744282369</v>
      </c>
      <c r="E580">
        <f t="shared" si="36"/>
        <v>-9.1050864813167043E-2</v>
      </c>
      <c r="F580" s="1">
        <f t="shared" si="37"/>
        <v>1.3309834215136762E-2</v>
      </c>
    </row>
    <row r="581" spans="1:6" x14ac:dyDescent="0.35">
      <c r="A581" s="2">
        <v>45097</v>
      </c>
      <c r="B581">
        <v>-5.3326163610149333E-3</v>
      </c>
      <c r="C581">
        <f t="shared" si="38"/>
        <v>10079.062416144237</v>
      </c>
      <c r="D581">
        <f t="shared" si="39"/>
        <v>11148.146744282369</v>
      </c>
      <c r="E581">
        <f t="shared" si="36"/>
        <v>-9.5897941842794654E-2</v>
      </c>
      <c r="F581" s="1">
        <f t="shared" si="37"/>
        <v>7.9062416144237702E-3</v>
      </c>
    </row>
    <row r="582" spans="1:6" x14ac:dyDescent="0.35">
      <c r="A582" s="2">
        <v>45098</v>
      </c>
      <c r="B582">
        <v>-1.455116353497941E-3</v>
      </c>
      <c r="C582">
        <f t="shared" si="38"/>
        <v>10064.39620759458</v>
      </c>
      <c r="D582">
        <f t="shared" si="39"/>
        <v>11148.146744282369</v>
      </c>
      <c r="E582">
        <f t="shared" si="36"/>
        <v>-9.7213515532850292E-2</v>
      </c>
      <c r="F582" s="1">
        <f t="shared" si="37"/>
        <v>6.4396207594579202E-3</v>
      </c>
    </row>
    <row r="583" spans="1:6" x14ac:dyDescent="0.35">
      <c r="A583" s="2">
        <v>45099</v>
      </c>
      <c r="B583">
        <v>-5.8719486915374411E-3</v>
      </c>
      <c r="C583">
        <f t="shared" si="38"/>
        <v>10005.298589452281</v>
      </c>
      <c r="D583">
        <f t="shared" si="39"/>
        <v>11148.146744282369</v>
      </c>
      <c r="E583">
        <f t="shared" si="36"/>
        <v>-0.10251463144905482</v>
      </c>
      <c r="F583" s="1">
        <f t="shared" si="37"/>
        <v>5.2985894522805665E-4</v>
      </c>
    </row>
    <row r="584" spans="1:6" x14ac:dyDescent="0.35">
      <c r="A584" s="2">
        <v>45100</v>
      </c>
      <c r="B584">
        <v>-5.777417302411699E-3</v>
      </c>
      <c r="C584">
        <f t="shared" si="38"/>
        <v>9947.493804265785</v>
      </c>
      <c r="D584">
        <f t="shared" si="39"/>
        <v>11148.146744282369</v>
      </c>
      <c r="E584">
        <f t="shared" si="36"/>
        <v>-0.10769977894598237</v>
      </c>
      <c r="F584" s="1">
        <f t="shared" si="37"/>
        <v>-5.2506195734215444E-3</v>
      </c>
    </row>
    <row r="585" spans="1:6" x14ac:dyDescent="0.35">
      <c r="A585" s="2">
        <v>45103</v>
      </c>
      <c r="B585">
        <v>1.618281788240417E-3</v>
      </c>
      <c r="C585">
        <f t="shared" si="38"/>
        <v>9963.5916523278629</v>
      </c>
      <c r="D585">
        <f t="shared" si="39"/>
        <v>11148.146744282369</v>
      </c>
      <c r="E585">
        <f t="shared" si="36"/>
        <v>-0.10625578574860772</v>
      </c>
      <c r="F585" s="1">
        <f t="shared" si="37"/>
        <v>-3.6408347672136632E-3</v>
      </c>
    </row>
    <row r="586" spans="1:6" x14ac:dyDescent="0.35">
      <c r="A586" s="2">
        <v>45104</v>
      </c>
      <c r="B586">
        <v>4.1042685669563086E-3</v>
      </c>
      <c r="C586">
        <f t="shared" si="38"/>
        <v>10004.4849083605</v>
      </c>
      <c r="D586">
        <f t="shared" si="39"/>
        <v>11148.146744282369</v>
      </c>
      <c r="E586">
        <f t="shared" si="36"/>
        <v>-0.10258761946315664</v>
      </c>
      <c r="F586" s="1">
        <f t="shared" si="37"/>
        <v>4.4849083605003059E-4</v>
      </c>
    </row>
    <row r="587" spans="1:6" x14ac:dyDescent="0.35">
      <c r="A587" s="2">
        <v>45105</v>
      </c>
      <c r="B587">
        <v>1.372921318638433E-3</v>
      </c>
      <c r="C587">
        <f t="shared" si="38"/>
        <v>10018.220278973185</v>
      </c>
      <c r="D587">
        <f t="shared" si="39"/>
        <v>11148.146744282369</v>
      </c>
      <c r="E587">
        <f t="shared" si="36"/>
        <v>-0.10135554287430748</v>
      </c>
      <c r="F587" s="1">
        <f t="shared" si="37"/>
        <v>1.8220278973184456E-3</v>
      </c>
    </row>
    <row r="588" spans="1:6" x14ac:dyDescent="0.35">
      <c r="A588" s="2">
        <v>45106</v>
      </c>
      <c r="B588">
        <v>-1.7745897695070081E-3</v>
      </c>
      <c r="C588">
        <f t="shared" si="38"/>
        <v>10000.442047757451</v>
      </c>
      <c r="D588">
        <f t="shared" si="39"/>
        <v>11148.146744282369</v>
      </c>
      <c r="E588">
        <f t="shared" si="36"/>
        <v>-0.10295026813434704</v>
      </c>
      <c r="F588" s="1">
        <f t="shared" si="37"/>
        <v>4.4204775745182445E-5</v>
      </c>
    </row>
    <row r="589" spans="1:6" x14ac:dyDescent="0.35">
      <c r="A589" s="2">
        <v>45107</v>
      </c>
      <c r="B589">
        <v>8.2477124683389327E-3</v>
      </c>
      <c r="C589">
        <f t="shared" si="38"/>
        <v>10082.922818323641</v>
      </c>
      <c r="D589">
        <f t="shared" si="39"/>
        <v>11148.146744282369</v>
      </c>
      <c r="E589">
        <f t="shared" si="36"/>
        <v>-9.5551659876118578E-2</v>
      </c>
      <c r="F589" s="1">
        <f t="shared" si="37"/>
        <v>8.292281832364079E-3</v>
      </c>
    </row>
    <row r="590" spans="1:6" x14ac:dyDescent="0.35">
      <c r="A590" s="2">
        <v>45110</v>
      </c>
      <c r="B590">
        <v>1.009437555260308E-3</v>
      </c>
      <c r="C590">
        <f t="shared" si="38"/>
        <v>10093.100899283249</v>
      </c>
      <c r="D590">
        <f t="shared" si="39"/>
        <v>11148.146744282369</v>
      </c>
      <c r="E590">
        <f t="shared" si="36"/>
        <v>-9.4638675754804669E-2</v>
      </c>
      <c r="F590" s="1">
        <f t="shared" si="37"/>
        <v>9.3100899283249383E-3</v>
      </c>
    </row>
    <row r="591" spans="1:6" x14ac:dyDescent="0.35">
      <c r="A591" s="2">
        <v>45112</v>
      </c>
      <c r="B591">
        <v>-4.0267236957079256E-3</v>
      </c>
      <c r="C591">
        <f t="shared" si="38"/>
        <v>10052.458770728934</v>
      </c>
      <c r="D591">
        <f t="shared" si="39"/>
        <v>11148.146744282369</v>
      </c>
      <c r="E591">
        <f t="shared" si="36"/>
        <v>-9.828431565232032E-2</v>
      </c>
      <c r="F591" s="1">
        <f t="shared" si="37"/>
        <v>5.2458770728933679E-3</v>
      </c>
    </row>
    <row r="592" spans="1:6" x14ac:dyDescent="0.35">
      <c r="A592" s="2">
        <v>45113</v>
      </c>
      <c r="B592">
        <v>-1.0152884123791121E-2</v>
      </c>
      <c r="C592">
        <f t="shared" si="38"/>
        <v>9950.3973216705344</v>
      </c>
      <c r="D592">
        <f t="shared" si="39"/>
        <v>11148.146744282369</v>
      </c>
      <c r="E592">
        <f t="shared" si="36"/>
        <v>-0.10743933050810739</v>
      </c>
      <c r="F592" s="1">
        <f t="shared" si="37"/>
        <v>-4.9602678329465633E-3</v>
      </c>
    </row>
    <row r="593" spans="1:6" x14ac:dyDescent="0.35">
      <c r="A593" s="2">
        <v>45114</v>
      </c>
      <c r="B593">
        <v>2.4859725832126239E-3</v>
      </c>
      <c r="C593">
        <f t="shared" si="38"/>
        <v>9975.1337366042808</v>
      </c>
      <c r="D593">
        <f t="shared" si="39"/>
        <v>11148.146744282369</v>
      </c>
      <c r="E593">
        <f t="shared" si="36"/>
        <v>-0.10522044915489648</v>
      </c>
      <c r="F593" s="1">
        <f t="shared" si="37"/>
        <v>-2.4866263395719734E-3</v>
      </c>
    </row>
    <row r="594" spans="1:6" x14ac:dyDescent="0.35">
      <c r="A594" s="2">
        <v>45117</v>
      </c>
      <c r="B594">
        <v>3.9601473171011498E-3</v>
      </c>
      <c r="C594">
        <f t="shared" si="38"/>
        <v>10014.63673570902</v>
      </c>
      <c r="D594">
        <f t="shared" si="39"/>
        <v>11148.146744282369</v>
      </c>
      <c r="E594">
        <f t="shared" si="36"/>
        <v>-0.10167699031722022</v>
      </c>
      <c r="F594" s="1">
        <f t="shared" si="37"/>
        <v>1.4636735709019355E-3</v>
      </c>
    </row>
    <row r="595" spans="1:6" x14ac:dyDescent="0.35">
      <c r="A595" s="2">
        <v>45118</v>
      </c>
      <c r="B595">
        <v>7.3182814299576912E-3</v>
      </c>
      <c r="C595">
        <f t="shared" si="38"/>
        <v>10087.926665759733</v>
      </c>
      <c r="D595">
        <f t="shared" si="39"/>
        <v>11148.146744282369</v>
      </c>
      <c r="E595">
        <f t="shared" si="36"/>
        <v>-9.5102809717354964E-2</v>
      </c>
      <c r="F595" s="1">
        <f t="shared" si="37"/>
        <v>8.7926665759732181E-3</v>
      </c>
    </row>
    <row r="596" spans="1:6" x14ac:dyDescent="0.35">
      <c r="A596" s="2">
        <v>45119</v>
      </c>
      <c r="B596">
        <v>1.1395284924857609E-2</v>
      </c>
      <c r="C596">
        <f t="shared" si="38"/>
        <v>10202.881464417133</v>
      </c>
      <c r="D596">
        <f t="shared" si="39"/>
        <v>11148.146744282369</v>
      </c>
      <c r="E596">
        <f t="shared" si="36"/>
        <v>-8.4791248406381192E-2</v>
      </c>
      <c r="F596" s="1">
        <f t="shared" si="37"/>
        <v>2.0288146441713284E-2</v>
      </c>
    </row>
    <row r="597" spans="1:6" x14ac:dyDescent="0.35">
      <c r="A597" s="2">
        <v>45120</v>
      </c>
      <c r="B597">
        <v>9.5904145036343168E-3</v>
      </c>
      <c r="C597">
        <f t="shared" si="38"/>
        <v>10300.73132679234</v>
      </c>
      <c r="D597">
        <f t="shared" si="39"/>
        <v>11148.146744282369</v>
      </c>
      <c r="E597">
        <f t="shared" si="36"/>
        <v>-7.6014017121244781E-2</v>
      </c>
      <c r="F597" s="1">
        <f t="shared" si="37"/>
        <v>3.007313267923406E-2</v>
      </c>
    </row>
    <row r="598" spans="1:6" x14ac:dyDescent="0.35">
      <c r="A598" s="2">
        <v>45121</v>
      </c>
      <c r="B598">
        <v>-4.9649936093045331E-3</v>
      </c>
      <c r="C598">
        <f t="shared" si="38"/>
        <v>10249.588261583653</v>
      </c>
      <c r="D598">
        <f t="shared" si="39"/>
        <v>11148.146744282369</v>
      </c>
      <c r="E598">
        <f t="shared" si="36"/>
        <v>-8.0601601621324792E-2</v>
      </c>
      <c r="F598" s="1">
        <f t="shared" si="37"/>
        <v>2.495882615836531E-2</v>
      </c>
    </row>
    <row r="599" spans="1:6" x14ac:dyDescent="0.35">
      <c r="A599" s="2">
        <v>45124</v>
      </c>
      <c r="B599">
        <v>1.281917235054583E-3</v>
      </c>
      <c r="C599">
        <f t="shared" si="38"/>
        <v>10262.72738542839</v>
      </c>
      <c r="D599">
        <f t="shared" si="39"/>
        <v>11148.146744282369</v>
      </c>
      <c r="E599">
        <f t="shared" si="36"/>
        <v>-7.942300896856147E-2</v>
      </c>
      <c r="F599" s="1">
        <f t="shared" si="37"/>
        <v>2.6272738542838958E-2</v>
      </c>
    </row>
    <row r="600" spans="1:6" x14ac:dyDescent="0.35">
      <c r="A600" s="2">
        <v>45125</v>
      </c>
      <c r="B600">
        <v>4.7765110187842829E-3</v>
      </c>
      <c r="C600">
        <f t="shared" si="38"/>
        <v>10311.747415867669</v>
      </c>
      <c r="D600">
        <f t="shared" si="39"/>
        <v>11148.146744282369</v>
      </c>
      <c r="E600">
        <f t="shared" si="36"/>
        <v>-7.5025862827260537E-2</v>
      </c>
      <c r="F600" s="1">
        <f t="shared" si="37"/>
        <v>3.1174741586766919E-2</v>
      </c>
    </row>
    <row r="601" spans="1:6" x14ac:dyDescent="0.35">
      <c r="A601" s="2">
        <v>45126</v>
      </c>
      <c r="B601">
        <v>3.4827801981889752E-3</v>
      </c>
      <c r="C601">
        <f t="shared" si="38"/>
        <v>10347.660965576379</v>
      </c>
      <c r="D601">
        <f t="shared" si="39"/>
        <v>11148.146744282369</v>
      </c>
      <c r="E601">
        <f t="shared" si="36"/>
        <v>-7.180438121847843E-2</v>
      </c>
      <c r="F601" s="1">
        <f t="shared" si="37"/>
        <v>3.476609655763796E-2</v>
      </c>
    </row>
    <row r="602" spans="1:6" x14ac:dyDescent="0.35">
      <c r="A602" s="2">
        <v>45127</v>
      </c>
      <c r="B602">
        <v>-7.2895907625050334E-3</v>
      </c>
      <c r="C602">
        <f t="shared" si="38"/>
        <v>10272.23075178818</v>
      </c>
      <c r="D602">
        <f t="shared" si="39"/>
        <v>11148.146744282369</v>
      </c>
      <c r="E602">
        <f t="shared" si="36"/>
        <v>-7.8570547426945803E-2</v>
      </c>
      <c r="F602" s="1">
        <f t="shared" si="37"/>
        <v>2.7223075178818057E-2</v>
      </c>
    </row>
    <row r="603" spans="1:6" x14ac:dyDescent="0.35">
      <c r="A603" s="2">
        <v>45128</v>
      </c>
      <c r="B603">
        <v>5.6737511151061667E-4</v>
      </c>
      <c r="C603">
        <f t="shared" si="38"/>
        <v>10278.05895985644</v>
      </c>
      <c r="D603">
        <f t="shared" si="39"/>
        <v>11148.146744282369</v>
      </c>
      <c r="E603">
        <f t="shared" si="36"/>
        <v>-7.8047751288542799E-2</v>
      </c>
      <c r="F603" s="1">
        <f t="shared" si="37"/>
        <v>2.780589598564398E-2</v>
      </c>
    </row>
    <row r="604" spans="1:6" x14ac:dyDescent="0.35">
      <c r="A604" s="2">
        <v>45131</v>
      </c>
      <c r="B604">
        <v>2.7163871086899158E-3</v>
      </c>
      <c r="C604">
        <f t="shared" si="38"/>
        <v>10305.978146717349</v>
      </c>
      <c r="D604">
        <f t="shared" si="39"/>
        <v>11148.146744282369</v>
      </c>
      <c r="E604">
        <f t="shared" si="36"/>
        <v>-7.5543372085315363E-2</v>
      </c>
      <c r="F604" s="1">
        <f t="shared" si="37"/>
        <v>3.0597814671734946E-2</v>
      </c>
    </row>
    <row r="605" spans="1:6" x14ac:dyDescent="0.35">
      <c r="A605" s="2">
        <v>45132</v>
      </c>
      <c r="B605">
        <v>1.2437550917835331E-3</v>
      </c>
      <c r="C605">
        <f t="shared" si="38"/>
        <v>10318.796259513138</v>
      </c>
      <c r="D605">
        <f t="shared" si="39"/>
        <v>11148.146744282369</v>
      </c>
      <c r="E605">
        <f t="shared" si="36"/>
        <v>-7.4393574447213506E-2</v>
      </c>
      <c r="F605" s="1">
        <f t="shared" si="37"/>
        <v>3.1879625951313662E-2</v>
      </c>
    </row>
    <row r="606" spans="1:6" x14ac:dyDescent="0.35">
      <c r="A606" s="2">
        <v>45133</v>
      </c>
      <c r="B606">
        <v>2.570077650796716E-3</v>
      </c>
      <c r="C606">
        <f t="shared" si="38"/>
        <v>10345.316367162835</v>
      </c>
      <c r="D606">
        <f t="shared" si="39"/>
        <v>11148.146744282369</v>
      </c>
      <c r="E606">
        <f t="shared" si="36"/>
        <v>-7.2014694059466589E-2</v>
      </c>
      <c r="F606" s="1">
        <f t="shared" si="37"/>
        <v>3.4531636716283565E-2</v>
      </c>
    </row>
    <row r="607" spans="1:6" x14ac:dyDescent="0.35">
      <c r="A607" s="2">
        <v>45134</v>
      </c>
      <c r="B607">
        <v>-1.0574881646673419E-2</v>
      </c>
      <c r="C607">
        <f t="shared" si="38"/>
        <v>10235.915870982695</v>
      </c>
      <c r="D607">
        <f t="shared" si="39"/>
        <v>11148.146744282369</v>
      </c>
      <c r="E607">
        <f t="shared" si="36"/>
        <v>-8.1828028839639688E-2</v>
      </c>
      <c r="F607" s="1">
        <f t="shared" si="37"/>
        <v>2.3591587098269473E-2</v>
      </c>
    </row>
    <row r="608" spans="1:6" x14ac:dyDescent="0.35">
      <c r="A608" s="2">
        <v>45135</v>
      </c>
      <c r="B608">
        <v>8.8565420673474751E-3</v>
      </c>
      <c r="C608">
        <f t="shared" si="38"/>
        <v>10326.570690491882</v>
      </c>
      <c r="D608">
        <f t="shared" si="39"/>
        <v>11148.146744282369</v>
      </c>
      <c r="E608">
        <f t="shared" si="36"/>
        <v>-7.3696200151998736E-2</v>
      </c>
      <c r="F608" s="1">
        <f t="shared" si="37"/>
        <v>3.2657069049188303E-2</v>
      </c>
    </row>
    <row r="609" spans="1:6" x14ac:dyDescent="0.35">
      <c r="A609" s="2">
        <v>45138</v>
      </c>
      <c r="B609">
        <v>3.0727141315104582E-3</v>
      </c>
      <c r="C609">
        <f t="shared" si="38"/>
        <v>10358.3012901826</v>
      </c>
      <c r="D609">
        <f t="shared" si="39"/>
        <v>11148.146744282369</v>
      </c>
      <c r="E609">
        <f t="shared" si="36"/>
        <v>-7.0849933376133767E-2</v>
      </c>
      <c r="F609" s="1">
        <f t="shared" si="37"/>
        <v>3.5830129018260104E-2</v>
      </c>
    </row>
    <row r="610" spans="1:6" x14ac:dyDescent="0.35">
      <c r="A610" s="2">
        <v>45139</v>
      </c>
      <c r="B610">
        <v>-7.4420017476779822E-3</v>
      </c>
      <c r="C610">
        <f t="shared" si="38"/>
        <v>10281.214793878087</v>
      </c>
      <c r="D610">
        <f t="shared" si="39"/>
        <v>11148.146744282369</v>
      </c>
      <c r="E610">
        <f t="shared" si="36"/>
        <v>-7.7764669795803654E-2</v>
      </c>
      <c r="F610" s="1">
        <f t="shared" si="37"/>
        <v>2.8121479387808623E-2</v>
      </c>
    </row>
    <row r="611" spans="1:6" x14ac:dyDescent="0.35">
      <c r="A611" s="2">
        <v>45140</v>
      </c>
      <c r="B611">
        <v>-1.172249852126812E-2</v>
      </c>
      <c r="C611">
        <f t="shared" si="38"/>
        <v>10160.69326866001</v>
      </c>
      <c r="D611">
        <f t="shared" si="39"/>
        <v>11148.146744282369</v>
      </c>
      <c r="E611">
        <f t="shared" si="36"/>
        <v>-8.8575572090383581E-2</v>
      </c>
      <c r="F611" s="1">
        <f t="shared" si="37"/>
        <v>1.6069326866001044E-2</v>
      </c>
    </row>
    <row r="612" spans="1:6" x14ac:dyDescent="0.35">
      <c r="A612" s="2">
        <v>45141</v>
      </c>
      <c r="B612">
        <v>-4.2049930453069333E-3</v>
      </c>
      <c r="C612">
        <f t="shared" si="38"/>
        <v>10117.967624129798</v>
      </c>
      <c r="D612">
        <f t="shared" si="39"/>
        <v>11148.146744282369</v>
      </c>
      <c r="E612">
        <f t="shared" si="36"/>
        <v>-9.2408105471066371E-2</v>
      </c>
      <c r="F612" s="1">
        <f t="shared" si="37"/>
        <v>1.1796762412979778E-2</v>
      </c>
    </row>
    <row r="613" spans="1:6" x14ac:dyDescent="0.35">
      <c r="A613" s="2">
        <v>45142</v>
      </c>
      <c r="B613">
        <v>2.6790118517574751E-3</v>
      </c>
      <c r="C613">
        <f t="shared" si="38"/>
        <v>10145.07377931054</v>
      </c>
      <c r="D613">
        <f t="shared" si="39"/>
        <v>11148.146744282369</v>
      </c>
      <c r="E613">
        <f t="shared" si="36"/>
        <v>-8.997665602906435E-2</v>
      </c>
      <c r="F613" s="1">
        <f t="shared" si="37"/>
        <v>1.4507377931054055E-2</v>
      </c>
    </row>
    <row r="614" spans="1:6" x14ac:dyDescent="0.35">
      <c r="A614" s="2">
        <v>45145</v>
      </c>
      <c r="B614">
        <v>1.888005993839266E-3</v>
      </c>
      <c r="C614">
        <f t="shared" si="38"/>
        <v>10164.22773941382</v>
      </c>
      <c r="D614">
        <f t="shared" si="39"/>
        <v>11148.146744282369</v>
      </c>
      <c r="E614">
        <f t="shared" si="36"/>
        <v>-8.8258526501113543E-2</v>
      </c>
      <c r="F614" s="1">
        <f t="shared" si="37"/>
        <v>1.642277394138203E-2</v>
      </c>
    </row>
    <row r="615" spans="1:6" x14ac:dyDescent="0.35">
      <c r="A615" s="2">
        <v>45146</v>
      </c>
      <c r="B615">
        <v>-2.3733966326916168E-3</v>
      </c>
      <c r="C615">
        <f t="shared" si="38"/>
        <v>10140.103995523184</v>
      </c>
      <c r="D615">
        <f t="shared" si="39"/>
        <v>11148.146744282369</v>
      </c>
      <c r="E615">
        <f t="shared" si="36"/>
        <v>-9.042245064420118E-2</v>
      </c>
      <c r="F615" s="1">
        <f t="shared" si="37"/>
        <v>1.401039955231842E-2</v>
      </c>
    </row>
    <row r="616" spans="1:6" x14ac:dyDescent="0.35">
      <c r="A616" s="2">
        <v>45147</v>
      </c>
      <c r="B616">
        <v>-1.1932252417218669E-3</v>
      </c>
      <c r="C616">
        <f t="shared" si="38"/>
        <v>10128.004567482041</v>
      </c>
      <c r="D616">
        <f t="shared" si="39"/>
        <v>11148.146744282369</v>
      </c>
      <c r="E616">
        <f t="shared" si="36"/>
        <v>-9.1507781535396071E-2</v>
      </c>
      <c r="F616" s="1">
        <f t="shared" si="37"/>
        <v>1.280045674820407E-2</v>
      </c>
    </row>
    <row r="617" spans="1:6" x14ac:dyDescent="0.35">
      <c r="A617" s="2">
        <v>45148</v>
      </c>
      <c r="B617">
        <v>-3.1733672490106171E-3</v>
      </c>
      <c r="C617">
        <f t="shared" si="38"/>
        <v>10095.864689489763</v>
      </c>
      <c r="D617">
        <f t="shared" si="39"/>
        <v>11148.146744282369</v>
      </c>
      <c r="E617">
        <f t="shared" si="36"/>
        <v>-9.4390760987452693E-2</v>
      </c>
      <c r="F617" s="1">
        <f t="shared" si="37"/>
        <v>9.5864689489761901E-3</v>
      </c>
    </row>
    <row r="618" spans="1:6" x14ac:dyDescent="0.35">
      <c r="A618" s="2">
        <v>45149</v>
      </c>
      <c r="B618">
        <v>-3.2938220397331921E-3</v>
      </c>
      <c r="C618">
        <f t="shared" si="38"/>
        <v>10062.610707865359</v>
      </c>
      <c r="D618">
        <f t="shared" si="39"/>
        <v>11148.146744282369</v>
      </c>
      <c r="E618">
        <f t="shared" si="36"/>
        <v>-9.7373676658298103E-2</v>
      </c>
      <c r="F618" s="1">
        <f t="shared" si="37"/>
        <v>6.2610707865358162E-3</v>
      </c>
    </row>
    <row r="619" spans="1:6" x14ac:dyDescent="0.35">
      <c r="A619" s="2">
        <v>45152</v>
      </c>
      <c r="B619">
        <v>-1.0906491998739171E-3</v>
      </c>
      <c r="C619">
        <f t="shared" si="38"/>
        <v>10051.635929548183</v>
      </c>
      <c r="D619">
        <f t="shared" si="39"/>
        <v>11148.146744282369</v>
      </c>
      <c r="E619">
        <f t="shared" si="36"/>
        <v>-9.8358125335635815E-2</v>
      </c>
      <c r="F619" s="1">
        <f t="shared" si="37"/>
        <v>5.1635929548183856E-3</v>
      </c>
    </row>
    <row r="620" spans="1:6" x14ac:dyDescent="0.35">
      <c r="A620" s="2">
        <v>45153</v>
      </c>
      <c r="B620">
        <v>-8.464540097116658E-3</v>
      </c>
      <c r="C620">
        <f t="shared" si="38"/>
        <v>9966.5534541809047</v>
      </c>
      <c r="D620">
        <f t="shared" si="39"/>
        <v>11148.146744282369</v>
      </c>
      <c r="E620">
        <f t="shared" si="36"/>
        <v>-0.10599010913697171</v>
      </c>
      <c r="F620" s="1">
        <f t="shared" si="37"/>
        <v>-3.3446545819095785E-3</v>
      </c>
    </row>
    <row r="621" spans="1:6" x14ac:dyDescent="0.35">
      <c r="A621" s="2">
        <v>45154</v>
      </c>
      <c r="B621">
        <v>-7.4040443242528002E-3</v>
      </c>
      <c r="C621">
        <f t="shared" si="38"/>
        <v>9892.7606506461143</v>
      </c>
      <c r="D621">
        <f t="shared" si="39"/>
        <v>11148.146744282369</v>
      </c>
      <c r="E621">
        <f t="shared" si="36"/>
        <v>-0.11260939799524194</v>
      </c>
      <c r="F621" s="1">
        <f t="shared" si="37"/>
        <v>-1.072393493538859E-2</v>
      </c>
    </row>
    <row r="622" spans="1:6" x14ac:dyDescent="0.35">
      <c r="A622" s="2">
        <v>45155</v>
      </c>
      <c r="B622">
        <v>-4.5483526213461094E-3</v>
      </c>
      <c r="C622">
        <f t="shared" si="38"/>
        <v>9847.7648868083979</v>
      </c>
      <c r="D622">
        <f t="shared" si="39"/>
        <v>11148.146744282369</v>
      </c>
      <c r="E622">
        <f t="shared" si="36"/>
        <v>-0.11664556336602827</v>
      </c>
      <c r="F622" s="1">
        <f t="shared" si="37"/>
        <v>-1.5223511319160221E-2</v>
      </c>
    </row>
    <row r="623" spans="1:6" x14ac:dyDescent="0.35">
      <c r="A623" s="2">
        <v>45156</v>
      </c>
      <c r="B623">
        <v>1.607669438998016E-3</v>
      </c>
      <c r="C623">
        <f t="shared" si="38"/>
        <v>9863.5968374593558</v>
      </c>
      <c r="D623">
        <f t="shared" si="39"/>
        <v>11148.146744282369</v>
      </c>
      <c r="E623">
        <f t="shared" si="36"/>
        <v>-0.11522542143444869</v>
      </c>
      <c r="F623" s="1">
        <f t="shared" si="37"/>
        <v>-1.3640316254064366E-2</v>
      </c>
    </row>
    <row r="624" spans="1:6" x14ac:dyDescent="0.35">
      <c r="A624" s="2">
        <v>45159</v>
      </c>
      <c r="B624">
        <v>-6.2311183097270024E-4</v>
      </c>
      <c r="C624">
        <f t="shared" si="38"/>
        <v>9857.4507135739896</v>
      </c>
      <c r="D624">
        <f t="shared" si="39"/>
        <v>11148.146744282369</v>
      </c>
      <c r="E624">
        <f t="shared" si="36"/>
        <v>-0.11577673494209684</v>
      </c>
      <c r="F624" s="1">
        <f t="shared" si="37"/>
        <v>-1.4254928642601028E-2</v>
      </c>
    </row>
    <row r="625" spans="1:6" x14ac:dyDescent="0.35">
      <c r="A625" s="2">
        <v>45160</v>
      </c>
      <c r="B625">
        <v>4.6948421687726663E-4</v>
      </c>
      <c r="C625">
        <f t="shared" si="38"/>
        <v>9862.0786311026586</v>
      </c>
      <c r="D625">
        <f t="shared" si="39"/>
        <v>11148.146744282369</v>
      </c>
      <c r="E625">
        <f t="shared" si="36"/>
        <v>-0.11536160607495638</v>
      </c>
      <c r="F625" s="1">
        <f t="shared" si="37"/>
        <v>-1.379213688973413E-2</v>
      </c>
    </row>
    <row r="626" spans="1:6" x14ac:dyDescent="0.35">
      <c r="A626" s="2">
        <v>45161</v>
      </c>
      <c r="B626">
        <v>1.250891003478978E-2</v>
      </c>
      <c r="C626">
        <f t="shared" si="38"/>
        <v>9985.4424854551435</v>
      </c>
      <c r="D626">
        <f t="shared" si="39"/>
        <v>11148.146744282369</v>
      </c>
      <c r="E626">
        <f t="shared" si="36"/>
        <v>-0.10429574399202712</v>
      </c>
      <c r="F626" s="1">
        <f t="shared" si="37"/>
        <v>-1.4557514544856209E-3</v>
      </c>
    </row>
    <row r="627" spans="1:6" x14ac:dyDescent="0.35">
      <c r="A627" s="2">
        <v>45162</v>
      </c>
      <c r="B627">
        <v>-7.421961789048275E-3</v>
      </c>
      <c r="C627">
        <f t="shared" si="38"/>
        <v>9911.3309128813562</v>
      </c>
      <c r="D627">
        <f t="shared" si="39"/>
        <v>11148.146744282369</v>
      </c>
      <c r="E627">
        <f t="shared" si="36"/>
        <v>-0.11094362675440628</v>
      </c>
      <c r="F627" s="1">
        <f t="shared" si="37"/>
        <v>-8.8669087118643519E-3</v>
      </c>
    </row>
    <row r="628" spans="1:6" x14ac:dyDescent="0.35">
      <c r="A628" s="2">
        <v>45163</v>
      </c>
      <c r="B628">
        <v>3.6577735083666079E-3</v>
      </c>
      <c r="C628">
        <f t="shared" si="38"/>
        <v>9947.584316527149</v>
      </c>
      <c r="D628">
        <f t="shared" si="39"/>
        <v>11148.146744282369</v>
      </c>
      <c r="E628">
        <f t="shared" si="36"/>
        <v>-0.10769165990490404</v>
      </c>
      <c r="F628" s="1">
        <f t="shared" si="37"/>
        <v>-5.2415683472850638E-3</v>
      </c>
    </row>
    <row r="629" spans="1:6" x14ac:dyDescent="0.35">
      <c r="A629" s="2">
        <v>45166</v>
      </c>
      <c r="B629">
        <v>5.3690830057711754E-3</v>
      </c>
      <c r="C629">
        <f t="shared" si="38"/>
        <v>10000.99372242949</v>
      </c>
      <c r="D629">
        <f t="shared" si="39"/>
        <v>11148.146744282369</v>
      </c>
      <c r="E629">
        <f t="shared" si="36"/>
        <v>-0.10290078236019162</v>
      </c>
      <c r="F629" s="1">
        <f t="shared" si="37"/>
        <v>9.9372242948980727E-5</v>
      </c>
    </row>
    <row r="630" spans="1:6" x14ac:dyDescent="0.35">
      <c r="A630" s="2">
        <v>45167</v>
      </c>
      <c r="B630">
        <v>1.106019699700489E-2</v>
      </c>
      <c r="C630">
        <f t="shared" si="38"/>
        <v>10111.60668316537</v>
      </c>
      <c r="D630">
        <f t="shared" si="39"/>
        <v>11148.146744282369</v>
      </c>
      <c r="E630">
        <f t="shared" si="36"/>
        <v>-9.2978688287236322E-2</v>
      </c>
      <c r="F630" s="1">
        <f t="shared" si="37"/>
        <v>1.1160668316537059E-2</v>
      </c>
    </row>
    <row r="631" spans="1:6" x14ac:dyDescent="0.35">
      <c r="A631" s="2">
        <v>45168</v>
      </c>
      <c r="B631">
        <v>1.1703785204763E-3</v>
      </c>
      <c r="C631">
        <f t="shared" si="38"/>
        <v>10123.44109043485</v>
      </c>
      <c r="D631">
        <f t="shared" si="39"/>
        <v>11148.146744282369</v>
      </c>
      <c r="E631">
        <f t="shared" si="36"/>
        <v>-9.1917130026393568E-2</v>
      </c>
      <c r="F631" s="1">
        <f t="shared" si="37"/>
        <v>1.2344109043485041E-2</v>
      </c>
    </row>
    <row r="632" spans="1:6" x14ac:dyDescent="0.35">
      <c r="A632" s="2">
        <v>45169</v>
      </c>
      <c r="B632">
        <v>-1.157057846494717E-3</v>
      </c>
      <c r="C632">
        <f t="shared" si="38"/>
        <v>10111.727683487636</v>
      </c>
      <c r="D632">
        <f t="shared" si="39"/>
        <v>11148.146744282369</v>
      </c>
      <c r="E632">
        <f t="shared" si="36"/>
        <v>-9.2967834436363916E-2</v>
      </c>
      <c r="F632" s="1">
        <f t="shared" si="37"/>
        <v>1.1172768348763462E-2</v>
      </c>
    </row>
    <row r="633" spans="1:6" x14ac:dyDescent="0.35">
      <c r="A633" s="2">
        <v>45170</v>
      </c>
      <c r="B633">
        <v>9.1108115612638287E-4</v>
      </c>
      <c r="C633">
        <f t="shared" si="38"/>
        <v>10120.940288035943</v>
      </c>
      <c r="D633">
        <f t="shared" si="39"/>
        <v>11148.146744282369</v>
      </c>
      <c r="E633">
        <f t="shared" si="36"/>
        <v>-9.2141454522318367E-2</v>
      </c>
      <c r="F633" s="1">
        <f t="shared" si="37"/>
        <v>1.2094028803594226E-2</v>
      </c>
    </row>
    <row r="634" spans="1:6" x14ac:dyDescent="0.35">
      <c r="A634" s="2">
        <v>45174</v>
      </c>
      <c r="B634">
        <v>-7.4656954496573422E-3</v>
      </c>
      <c r="C634">
        <f t="shared" si="38"/>
        <v>10045.3804301813</v>
      </c>
      <c r="D634">
        <f t="shared" si="39"/>
        <v>11148.146744282369</v>
      </c>
      <c r="E634">
        <f t="shared" si="36"/>
        <v>-9.891924993422363E-2</v>
      </c>
      <c r="F634" s="1">
        <f t="shared" si="37"/>
        <v>4.5380430181298781E-3</v>
      </c>
    </row>
    <row r="635" spans="1:6" x14ac:dyDescent="0.35">
      <c r="A635" s="2">
        <v>45175</v>
      </c>
      <c r="B635">
        <v>-2.8909509843546908E-3</v>
      </c>
      <c r="C635">
        <f t="shared" si="38"/>
        <v>10016.33972773845</v>
      </c>
      <c r="D635">
        <f t="shared" si="39"/>
        <v>11148.146744282369</v>
      </c>
      <c r="E635">
        <f t="shared" si="36"/>
        <v>-0.1015242302156093</v>
      </c>
      <c r="F635" s="1">
        <f t="shared" si="37"/>
        <v>1.6339727738450271E-3</v>
      </c>
    </row>
    <row r="636" spans="1:6" x14ac:dyDescent="0.35">
      <c r="A636" s="2">
        <v>45176</v>
      </c>
      <c r="B636">
        <v>-1.2991503241472501E-3</v>
      </c>
      <c r="C636">
        <f t="shared" si="38"/>
        <v>10003.326996734389</v>
      </c>
      <c r="D636">
        <f t="shared" si="39"/>
        <v>11148.146744282369</v>
      </c>
      <c r="E636">
        <f t="shared" si="36"/>
        <v>-0.10269148530316319</v>
      </c>
      <c r="F636" s="1">
        <f t="shared" si="37"/>
        <v>3.3269967343896312E-4</v>
      </c>
    </row>
    <row r="637" spans="1:6" x14ac:dyDescent="0.35">
      <c r="A637" s="2">
        <v>45177</v>
      </c>
      <c r="B637">
        <v>3.4724011909032502E-4</v>
      </c>
      <c r="C637">
        <f t="shared" si="38"/>
        <v>10006.800553192033</v>
      </c>
      <c r="D637">
        <f t="shared" si="39"/>
        <v>11148.146744282369</v>
      </c>
      <c r="E637">
        <f t="shared" si="36"/>
        <v>-0.10237990378765927</v>
      </c>
      <c r="F637" s="1">
        <f t="shared" si="37"/>
        <v>6.8005531920345419E-4</v>
      </c>
    </row>
    <row r="638" spans="1:6" x14ac:dyDescent="0.35">
      <c r="A638" s="2">
        <v>45180</v>
      </c>
      <c r="B638">
        <v>3.5332724196284501E-3</v>
      </c>
      <c r="C638">
        <f t="shared" si="38"/>
        <v>10042.157305595349</v>
      </c>
      <c r="D638">
        <f t="shared" si="39"/>
        <v>11148.146744282369</v>
      </c>
      <c r="E638">
        <f t="shared" si="36"/>
        <v>-9.9208367458407998E-2</v>
      </c>
      <c r="F638" s="1">
        <f t="shared" si="37"/>
        <v>4.215730559534947E-3</v>
      </c>
    </row>
    <row r="639" spans="1:6" x14ac:dyDescent="0.35">
      <c r="A639" s="2">
        <v>45181</v>
      </c>
      <c r="B639">
        <v>-1.7919494487348921E-3</v>
      </c>
      <c r="C639">
        <f t="shared" si="38"/>
        <v>10024.162267347478</v>
      </c>
      <c r="D639">
        <f t="shared" si="39"/>
        <v>11148.146744282369</v>
      </c>
      <c r="E639">
        <f t="shared" si="36"/>
        <v>-0.10082254052776596</v>
      </c>
      <c r="F639" s="1">
        <f t="shared" si="37"/>
        <v>2.4162267347478394E-3</v>
      </c>
    </row>
    <row r="640" spans="1:6" x14ac:dyDescent="0.35">
      <c r="A640" s="2">
        <v>45182</v>
      </c>
      <c r="B640">
        <v>-8.4968002380682479E-4</v>
      </c>
      <c r="C640">
        <f t="shared" si="38"/>
        <v>10015.644936913515</v>
      </c>
      <c r="D640">
        <f t="shared" si="39"/>
        <v>11148.146744282369</v>
      </c>
      <c r="E640">
        <f t="shared" si="36"/>
        <v>-0.10158655365293678</v>
      </c>
      <c r="F640" s="1">
        <f t="shared" si="37"/>
        <v>1.5644936913514762E-3</v>
      </c>
    </row>
    <row r="641" spans="1:6" x14ac:dyDescent="0.35">
      <c r="A641" s="2">
        <v>45183</v>
      </c>
      <c r="B641">
        <v>5.6287116203718752E-3</v>
      </c>
      <c r="C641">
        <f t="shared" si="38"/>
        <v>10072.020113955439</v>
      </c>
      <c r="D641">
        <f t="shared" si="39"/>
        <v>11148.146744282369</v>
      </c>
      <c r="E641">
        <f t="shared" si="36"/>
        <v>-9.6529643447584745E-2</v>
      </c>
      <c r="F641" s="1">
        <f t="shared" si="37"/>
        <v>7.2020113955439946E-3</v>
      </c>
    </row>
    <row r="642" spans="1:6" x14ac:dyDescent="0.35">
      <c r="A642" s="2">
        <v>45184</v>
      </c>
      <c r="B642">
        <v>-4.9721519028512167E-3</v>
      </c>
      <c r="C642">
        <f t="shared" si="38"/>
        <v>10021.940499980281</v>
      </c>
      <c r="D642">
        <f t="shared" si="39"/>
        <v>11148.146744282369</v>
      </c>
      <c r="E642">
        <f t="shared" si="36"/>
        <v>-0.10102183530008635</v>
      </c>
      <c r="F642" s="1">
        <f t="shared" si="37"/>
        <v>2.1940499980281913E-3</v>
      </c>
    </row>
    <row r="643" spans="1:6" x14ac:dyDescent="0.35">
      <c r="A643" s="2">
        <v>45187</v>
      </c>
      <c r="B643">
        <v>-3.3067357651423351E-4</v>
      </c>
      <c r="C643">
        <f t="shared" si="38"/>
        <v>10018.626509071539</v>
      </c>
      <c r="D643">
        <f t="shared" si="39"/>
        <v>11148.146744282369</v>
      </c>
      <c r="E643">
        <f t="shared" ref="E643:E706" si="40">(C643/D643)-1</f>
        <v>-0.10131910362501595</v>
      </c>
      <c r="F643" s="1">
        <f t="shared" ref="F643:F706" si="41">C643/$C$2-1</f>
        <v>1.8626509071539843E-3</v>
      </c>
    </row>
    <row r="644" spans="1:6" x14ac:dyDescent="0.35">
      <c r="A644" s="2">
        <v>45188</v>
      </c>
      <c r="B644">
        <v>-2.9436231634358749E-3</v>
      </c>
      <c r="C644">
        <f t="shared" ref="C644:C707" si="42">C643*(1+B644)</f>
        <v>9989.1354480136233</v>
      </c>
      <c r="D644">
        <f t="shared" ref="D644:D707" si="43">MAX(D643,C644)</f>
        <v>11148.146744282369</v>
      </c>
      <c r="E644">
        <f t="shared" si="40"/>
        <v>-0.10396448152812265</v>
      </c>
      <c r="F644" s="1">
        <f t="shared" si="41"/>
        <v>-1.0864551986377036E-3</v>
      </c>
    </row>
    <row r="645" spans="1:6" x14ac:dyDescent="0.35">
      <c r="A645" s="2">
        <v>45189</v>
      </c>
      <c r="B645">
        <v>-3.73398990912215E-3</v>
      </c>
      <c r="C645">
        <f t="shared" si="42"/>
        <v>9951.8361170498865</v>
      </c>
      <c r="D645">
        <f t="shared" si="43"/>
        <v>11148.146744282369</v>
      </c>
      <c r="E645">
        <f t="shared" si="40"/>
        <v>-0.10731026911231167</v>
      </c>
      <c r="F645" s="1">
        <f t="shared" si="41"/>
        <v>-4.8163882950112979E-3</v>
      </c>
    </row>
    <row r="646" spans="1:6" x14ac:dyDescent="0.35">
      <c r="A646" s="2">
        <v>45190</v>
      </c>
      <c r="B646">
        <v>-1.4921135014387851E-2</v>
      </c>
      <c r="C646">
        <f t="shared" si="42"/>
        <v>9803.343426706324</v>
      </c>
      <c r="D646">
        <f t="shared" si="43"/>
        <v>11148.146744282369</v>
      </c>
      <c r="E646">
        <f t="shared" si="40"/>
        <v>-0.12063021311284439</v>
      </c>
      <c r="F646" s="1">
        <f t="shared" si="41"/>
        <v>-1.9665657329367647E-2</v>
      </c>
    </row>
    <row r="647" spans="1:6" x14ac:dyDescent="0.35">
      <c r="A647" s="2">
        <v>45191</v>
      </c>
      <c r="B647">
        <v>2.0484800127249831E-3</v>
      </c>
      <c r="C647">
        <f t="shared" si="42"/>
        <v>9823.4253797738111</v>
      </c>
      <c r="D647">
        <f t="shared" si="43"/>
        <v>11148.146744282369</v>
      </c>
      <c r="E647">
        <f t="shared" si="40"/>
        <v>-0.11882884168061181</v>
      </c>
      <c r="F647" s="1">
        <f t="shared" si="41"/>
        <v>-1.7657462022618864E-2</v>
      </c>
    </row>
    <row r="648" spans="1:6" x14ac:dyDescent="0.35">
      <c r="A648" s="2">
        <v>45194</v>
      </c>
      <c r="B648">
        <v>-4.1061828798372169E-3</v>
      </c>
      <c r="C648">
        <f t="shared" si="42"/>
        <v>9783.0885986580251</v>
      </c>
      <c r="D648">
        <f t="shared" si="43"/>
        <v>11148.146744282369</v>
      </c>
      <c r="E648">
        <f t="shared" si="40"/>
        <v>-0.12244709160510925</v>
      </c>
      <c r="F648" s="1">
        <f t="shared" si="41"/>
        <v>-2.1691140134197484E-2</v>
      </c>
    </row>
    <row r="649" spans="1:6" x14ac:dyDescent="0.35">
      <c r="A649" s="2">
        <v>45195</v>
      </c>
      <c r="B649">
        <v>-8.996480796560017E-3</v>
      </c>
      <c r="C649">
        <f t="shared" si="42"/>
        <v>9695.0752299491523</v>
      </c>
      <c r="D649">
        <f t="shared" si="43"/>
        <v>11148.146744282369</v>
      </c>
      <c r="E649">
        <f t="shared" si="40"/>
        <v>-0.13034197949344928</v>
      </c>
      <c r="F649" s="1">
        <f t="shared" si="41"/>
        <v>-3.0492477005084728E-2</v>
      </c>
    </row>
    <row r="650" spans="1:6" x14ac:dyDescent="0.35">
      <c r="A650" s="2">
        <v>45196</v>
      </c>
      <c r="B650">
        <v>-1.4505515091295751E-3</v>
      </c>
      <c r="C650">
        <f t="shared" si="42"/>
        <v>9681.0120239432254</v>
      </c>
      <c r="D650">
        <f t="shared" si="43"/>
        <v>11148.146744282369</v>
      </c>
      <c r="E650">
        <f t="shared" si="40"/>
        <v>-0.1316034632475217</v>
      </c>
      <c r="F650" s="1">
        <f t="shared" si="41"/>
        <v>-3.1898797605677487E-2</v>
      </c>
    </row>
    <row r="651" spans="1:6" x14ac:dyDescent="0.35">
      <c r="A651" s="2">
        <v>45197</v>
      </c>
      <c r="B651">
        <v>4.1448553679519912E-3</v>
      </c>
      <c r="C651">
        <f t="shared" si="42"/>
        <v>9721.1384185978732</v>
      </c>
      <c r="D651">
        <f t="shared" si="43"/>
        <v>11148.146744282369</v>
      </c>
      <c r="E651">
        <f t="shared" si="40"/>
        <v>-0.12800408520065232</v>
      </c>
      <c r="F651" s="1">
        <f t="shared" si="41"/>
        <v>-2.7886158140212669E-2</v>
      </c>
    </row>
    <row r="652" spans="1:6" x14ac:dyDescent="0.35">
      <c r="A652" s="2">
        <v>45198</v>
      </c>
      <c r="B652">
        <v>-2.4920117413494169E-3</v>
      </c>
      <c r="C652">
        <f t="shared" si="42"/>
        <v>9696.9132275194443</v>
      </c>
      <c r="D652">
        <f t="shared" si="43"/>
        <v>11148.146744282369</v>
      </c>
      <c r="E652">
        <f t="shared" si="40"/>
        <v>-0.13017710925874104</v>
      </c>
      <c r="F652" s="1">
        <f t="shared" si="41"/>
        <v>-3.0308677248055527E-2</v>
      </c>
    </row>
    <row r="653" spans="1:6" x14ac:dyDescent="0.35">
      <c r="A653" s="2">
        <v>45201</v>
      </c>
      <c r="B653">
        <v>-8.6153573775362667E-3</v>
      </c>
      <c r="C653">
        <f t="shared" si="42"/>
        <v>9613.3708546054058</v>
      </c>
      <c r="D653">
        <f t="shared" si="43"/>
        <v>11148.146744282369</v>
      </c>
      <c r="E653">
        <f t="shared" si="40"/>
        <v>-0.13767094431763871</v>
      </c>
      <c r="F653" s="1">
        <f t="shared" si="41"/>
        <v>-3.866291453945947E-2</v>
      </c>
    </row>
    <row r="654" spans="1:6" x14ac:dyDescent="0.35">
      <c r="A654" s="2">
        <v>45202</v>
      </c>
      <c r="B654">
        <v>-1.26533355227227E-2</v>
      </c>
      <c r="C654">
        <f t="shared" si="42"/>
        <v>9491.7296476777192</v>
      </c>
      <c r="D654">
        <f t="shared" si="43"/>
        <v>11148.146744282369</v>
      </c>
      <c r="E654">
        <f t="shared" si="40"/>
        <v>-0.1485822831901803</v>
      </c>
      <c r="F654" s="1">
        <f t="shared" si="41"/>
        <v>-5.082703523222809E-2</v>
      </c>
    </row>
    <row r="655" spans="1:6" x14ac:dyDescent="0.35">
      <c r="A655" s="2">
        <v>45203</v>
      </c>
      <c r="B655">
        <v>3.219856855036399E-3</v>
      </c>
      <c r="C655">
        <f t="shared" si="42"/>
        <v>9522.2916584499453</v>
      </c>
      <c r="D655">
        <f t="shared" si="43"/>
        <v>11148.146744282369</v>
      </c>
      <c r="E655">
        <f t="shared" si="40"/>
        <v>-0.14584084001821085</v>
      </c>
      <c r="F655" s="1">
        <f t="shared" si="41"/>
        <v>-4.7770834155005493E-2</v>
      </c>
    </row>
    <row r="656" spans="1:6" x14ac:dyDescent="0.35">
      <c r="A656" s="2">
        <v>45204</v>
      </c>
      <c r="B656">
        <v>3.7844957765733342E-4</v>
      </c>
      <c r="C656">
        <f t="shared" si="42"/>
        <v>9525.8953657064158</v>
      </c>
      <c r="D656">
        <f t="shared" si="43"/>
        <v>11148.146744282369</v>
      </c>
      <c r="E656">
        <f t="shared" si="40"/>
        <v>-0.14551758384486357</v>
      </c>
      <c r="F656" s="1">
        <f t="shared" si="41"/>
        <v>-4.7410463429358396E-2</v>
      </c>
    </row>
    <row r="657" spans="1:6" x14ac:dyDescent="0.35">
      <c r="A657" s="2">
        <v>45205</v>
      </c>
      <c r="B657">
        <v>4.6543529490645497E-3</v>
      </c>
      <c r="C657">
        <f t="shared" si="42"/>
        <v>9570.2322448942723</v>
      </c>
      <c r="D657">
        <f t="shared" si="43"/>
        <v>11148.146744282369</v>
      </c>
      <c r="E657">
        <f t="shared" si="40"/>
        <v>-0.1415405210913081</v>
      </c>
      <c r="F657" s="1">
        <f t="shared" si="41"/>
        <v>-4.2976775510572773E-2</v>
      </c>
    </row>
    <row r="658" spans="1:6" x14ac:dyDescent="0.35">
      <c r="A658" s="2">
        <v>45208</v>
      </c>
      <c r="B658">
        <v>9.7768108526093585E-3</v>
      </c>
      <c r="C658">
        <f t="shared" si="42"/>
        <v>9663.7985953681455</v>
      </c>
      <c r="D658">
        <f t="shared" si="43"/>
        <v>11148.146744282369</v>
      </c>
      <c r="E658">
        <f t="shared" si="40"/>
        <v>-0.13314752514138839</v>
      </c>
      <c r="F658" s="1">
        <f t="shared" si="41"/>
        <v>-3.36201404631854E-2</v>
      </c>
    </row>
    <row r="659" spans="1:6" x14ac:dyDescent="0.35">
      <c r="A659" s="2">
        <v>45209</v>
      </c>
      <c r="B659">
        <v>3.9640511814294909E-3</v>
      </c>
      <c r="C659">
        <f t="shared" si="42"/>
        <v>9702.1063876072094</v>
      </c>
      <c r="D659">
        <f t="shared" si="43"/>
        <v>11148.146744282369</v>
      </c>
      <c r="E659">
        <f t="shared" si="40"/>
        <v>-0.12971127756430012</v>
      </c>
      <c r="F659" s="1">
        <f t="shared" si="41"/>
        <v>-2.9789361239279111E-2</v>
      </c>
    </row>
    <row r="660" spans="1:6" x14ac:dyDescent="0.35">
      <c r="A660" s="2">
        <v>45210</v>
      </c>
      <c r="B660">
        <v>5.9387560885606084E-3</v>
      </c>
      <c r="C660">
        <f t="shared" si="42"/>
        <v>9759.7248309884744</v>
      </c>
      <c r="D660">
        <f t="shared" si="43"/>
        <v>11148.146744282369</v>
      </c>
      <c r="E660">
        <f t="shared" si="40"/>
        <v>-0.12454284511512947</v>
      </c>
      <c r="F660" s="1">
        <f t="shared" si="41"/>
        <v>-2.4027516901152568E-2</v>
      </c>
    </row>
    <row r="661" spans="1:6" x14ac:dyDescent="0.35">
      <c r="A661" s="2">
        <v>45211</v>
      </c>
      <c r="B661">
        <v>-1.0183799011610361E-2</v>
      </c>
      <c r="C661">
        <f t="shared" si="42"/>
        <v>9660.3337549010648</v>
      </c>
      <c r="D661">
        <f t="shared" si="43"/>
        <v>11148.146744282369</v>
      </c>
      <c r="E661">
        <f t="shared" si="40"/>
        <v>-0.1334583248237533</v>
      </c>
      <c r="F661" s="1">
        <f t="shared" si="41"/>
        <v>-3.3966624509893517E-2</v>
      </c>
    </row>
    <row r="662" spans="1:6" x14ac:dyDescent="0.35">
      <c r="A662" s="2">
        <v>45212</v>
      </c>
      <c r="B662">
        <v>3.8552546216473081E-3</v>
      </c>
      <c r="C662">
        <f t="shared" si="42"/>
        <v>9697.5768012563021</v>
      </c>
      <c r="D662">
        <f t="shared" si="43"/>
        <v>11148.146744282369</v>
      </c>
      <c r="E662">
        <f t="shared" si="40"/>
        <v>-0.13011758602568013</v>
      </c>
      <c r="F662" s="1">
        <f t="shared" si="41"/>
        <v>-3.0242319874369761E-2</v>
      </c>
    </row>
    <row r="663" spans="1:6" x14ac:dyDescent="0.35">
      <c r="A663" s="2">
        <v>45215</v>
      </c>
      <c r="B663">
        <v>2.277295702486133E-3</v>
      </c>
      <c r="C663">
        <f t="shared" si="42"/>
        <v>9719.6610512303323</v>
      </c>
      <c r="D663">
        <f t="shared" si="43"/>
        <v>11148.146744282369</v>
      </c>
      <c r="E663">
        <f t="shared" si="40"/>
        <v>-0.12813660654266812</v>
      </c>
      <c r="F663" s="1">
        <f t="shared" si="41"/>
        <v>-2.8033894876966725E-2</v>
      </c>
    </row>
    <row r="664" spans="1:6" x14ac:dyDescent="0.35">
      <c r="A664" s="2">
        <v>45216</v>
      </c>
      <c r="B664">
        <v>-2.0352532726745439E-3</v>
      </c>
      <c r="C664">
        <f t="shared" si="42"/>
        <v>9699.8790792665295</v>
      </c>
      <c r="D664">
        <f t="shared" si="43"/>
        <v>11148.146744282369</v>
      </c>
      <c r="E664">
        <f t="shared" si="40"/>
        <v>-0.12991106936752717</v>
      </c>
      <c r="F664" s="1">
        <f t="shared" si="41"/>
        <v>-3.0012092073347096E-2</v>
      </c>
    </row>
    <row r="665" spans="1:6" x14ac:dyDescent="0.35">
      <c r="A665" s="2">
        <v>45217</v>
      </c>
      <c r="B665">
        <v>-8.6578530240097491E-3</v>
      </c>
      <c r="C665">
        <f t="shared" si="42"/>
        <v>9615.8989518475719</v>
      </c>
      <c r="D665">
        <f t="shared" si="43"/>
        <v>11148.146744282369</v>
      </c>
      <c r="E665">
        <f t="shared" si="40"/>
        <v>-0.13744417144676102</v>
      </c>
      <c r="F665" s="1">
        <f t="shared" si="41"/>
        <v>-3.8410104815242763E-2</v>
      </c>
    </row>
    <row r="666" spans="1:6" x14ac:dyDescent="0.35">
      <c r="A666" s="2">
        <v>45218</v>
      </c>
      <c r="B666">
        <v>-7.2449446499081409E-3</v>
      </c>
      <c r="C666">
        <f t="shared" si="42"/>
        <v>9546.2322961823265</v>
      </c>
      <c r="D666">
        <f t="shared" si="43"/>
        <v>11148.146744282369</v>
      </c>
      <c r="E666">
        <f t="shared" si="40"/>
        <v>-0.14369334068208495</v>
      </c>
      <c r="F666" s="1">
        <f t="shared" si="41"/>
        <v>-4.5376770381767351E-2</v>
      </c>
    </row>
    <row r="667" spans="1:6" x14ac:dyDescent="0.35">
      <c r="A667" s="2">
        <v>45219</v>
      </c>
      <c r="B667">
        <v>-4.5886172609336416E-3</v>
      </c>
      <c r="C667">
        <f t="shared" si="42"/>
        <v>9502.4282898911824</v>
      </c>
      <c r="D667">
        <f t="shared" si="43"/>
        <v>11148.146744282369</v>
      </c>
      <c r="E667">
        <f t="shared" si="40"/>
        <v>-0.14762260419968354</v>
      </c>
      <c r="F667" s="1">
        <f t="shared" si="41"/>
        <v>-4.9757171010881729E-2</v>
      </c>
    </row>
    <row r="668" spans="1:6" x14ac:dyDescent="0.35">
      <c r="A668" s="2">
        <v>45222</v>
      </c>
      <c r="B668">
        <v>1.4500927556920849E-4</v>
      </c>
      <c r="C668">
        <f t="shared" si="42"/>
        <v>9503.8062301336486</v>
      </c>
      <c r="D668">
        <f t="shared" si="43"/>
        <v>11148.146744282369</v>
      </c>
      <c r="E668">
        <f t="shared" si="40"/>
        <v>-0.14749900157100682</v>
      </c>
      <c r="F668" s="1">
        <f t="shared" si="41"/>
        <v>-4.96193769866351E-2</v>
      </c>
    </row>
    <row r="669" spans="1:6" x14ac:dyDescent="0.35">
      <c r="A669" s="2">
        <v>45223</v>
      </c>
      <c r="B669">
        <v>6.0087962975390336E-3</v>
      </c>
      <c r="C669">
        <f t="shared" si="42"/>
        <v>9560.9126658218047</v>
      </c>
      <c r="D669">
        <f t="shared" si="43"/>
        <v>11148.146744282369</v>
      </c>
      <c r="E669">
        <f t="shared" si="40"/>
        <v>-0.14237649672799835</v>
      </c>
      <c r="F669" s="1">
        <f t="shared" si="41"/>
        <v>-4.3908733417819534E-2</v>
      </c>
    </row>
    <row r="670" spans="1:6" x14ac:dyDescent="0.35">
      <c r="A670" s="2">
        <v>45224</v>
      </c>
      <c r="B670">
        <v>-1.0930717020078289E-2</v>
      </c>
      <c r="C670">
        <f t="shared" si="42"/>
        <v>9456.4050350180241</v>
      </c>
      <c r="D670">
        <f t="shared" si="43"/>
        <v>11148.146744282369</v>
      </c>
      <c r="E670">
        <f t="shared" si="40"/>
        <v>-0.15175093655203276</v>
      </c>
      <c r="F670" s="1">
        <f t="shared" si="41"/>
        <v>-5.4359496498197601E-2</v>
      </c>
    </row>
    <row r="671" spans="1:6" x14ac:dyDescent="0.35">
      <c r="A671" s="2">
        <v>45225</v>
      </c>
      <c r="B671">
        <v>4.4775183951424152E-4</v>
      </c>
      <c r="C671">
        <f t="shared" si="42"/>
        <v>9460.6391577676459</v>
      </c>
      <c r="D671">
        <f t="shared" si="43"/>
        <v>11148.146744282369</v>
      </c>
      <c r="E671">
        <f t="shared" si="40"/>
        <v>-0.15137113147350767</v>
      </c>
      <c r="F671" s="1">
        <f t="shared" si="41"/>
        <v>-5.393608422323537E-2</v>
      </c>
    </row>
    <row r="672" spans="1:6" x14ac:dyDescent="0.35">
      <c r="A672" s="2">
        <v>45226</v>
      </c>
      <c r="B672">
        <v>-1.024181521809425E-3</v>
      </c>
      <c r="C672">
        <f t="shared" si="42"/>
        <v>9450.9497459577542</v>
      </c>
      <c r="D672">
        <f t="shared" si="43"/>
        <v>11148.146744282369</v>
      </c>
      <c r="E672">
        <f t="shared" si="40"/>
        <v>-0.15224028147952651</v>
      </c>
      <c r="F672" s="1">
        <f t="shared" si="41"/>
        <v>-5.4905025404224594E-2</v>
      </c>
    </row>
    <row r="673" spans="1:6" x14ac:dyDescent="0.35">
      <c r="A673" s="2">
        <v>45229</v>
      </c>
      <c r="B673">
        <v>2.169600455985275E-3</v>
      </c>
      <c r="C673">
        <f t="shared" si="42"/>
        <v>9471.4545308360775</v>
      </c>
      <c r="D673">
        <f t="shared" si="43"/>
        <v>11148.146744282369</v>
      </c>
      <c r="E673">
        <f t="shared" si="40"/>
        <v>-0.15040098160765858</v>
      </c>
      <c r="F673" s="1">
        <f t="shared" si="41"/>
        <v>-5.2854546916392242E-2</v>
      </c>
    </row>
    <row r="674" spans="1:6" x14ac:dyDescent="0.35">
      <c r="A674" s="2">
        <v>45230</v>
      </c>
      <c r="B674">
        <v>1.6445691003992579E-3</v>
      </c>
      <c r="C674">
        <f t="shared" si="42"/>
        <v>9487.0309922933266</v>
      </c>
      <c r="D674">
        <f t="shared" si="43"/>
        <v>11148.146744282369</v>
      </c>
      <c r="E674">
        <f t="shared" si="40"/>
        <v>-0.14900375731428106</v>
      </c>
      <c r="F674" s="1">
        <f t="shared" si="41"/>
        <v>-5.1296900770667397E-2</v>
      </c>
    </row>
    <row r="675" spans="1:6" x14ac:dyDescent="0.35">
      <c r="A675" s="2">
        <v>45231</v>
      </c>
      <c r="B675">
        <v>9.5090296527235406E-3</v>
      </c>
      <c r="C675">
        <f t="shared" si="42"/>
        <v>9577.2434513153512</v>
      </c>
      <c r="D675">
        <f t="shared" si="43"/>
        <v>11148.146744282369</v>
      </c>
      <c r="E675">
        <f t="shared" si="40"/>
        <v>-0.14091160880822617</v>
      </c>
      <c r="F675" s="1">
        <f t="shared" si="41"/>
        <v>-4.2275654868464851E-2</v>
      </c>
    </row>
    <row r="676" spans="1:6" x14ac:dyDescent="0.35">
      <c r="A676" s="2">
        <v>45232</v>
      </c>
      <c r="B676">
        <v>1.67358790539637E-2</v>
      </c>
      <c r="C676">
        <f t="shared" si="42"/>
        <v>9737.5270393869323</v>
      </c>
      <c r="D676">
        <f t="shared" si="43"/>
        <v>11148.146744282369</v>
      </c>
      <c r="E676">
        <f t="shared" si="40"/>
        <v>-0.12653400939657622</v>
      </c>
      <c r="F676" s="1">
        <f t="shared" si="41"/>
        <v>-2.6247296061306824E-2</v>
      </c>
    </row>
    <row r="677" spans="1:6" x14ac:dyDescent="0.35">
      <c r="A677" s="2">
        <v>45233</v>
      </c>
      <c r="B677">
        <v>1.087930498239836E-2</v>
      </c>
      <c r="C677">
        <f t="shared" si="42"/>
        <v>9843.4645658227728</v>
      </c>
      <c r="D677">
        <f t="shared" si="43"/>
        <v>11148.146744282369</v>
      </c>
      <c r="E677">
        <f t="shared" si="40"/>
        <v>-0.11703130649304894</v>
      </c>
      <c r="F677" s="1">
        <f t="shared" si="41"/>
        <v>-1.5653543417722737E-2</v>
      </c>
    </row>
    <row r="678" spans="1:6" x14ac:dyDescent="0.35">
      <c r="A678" s="2">
        <v>45236</v>
      </c>
      <c r="B678">
        <v>-3.8389784933884909E-3</v>
      </c>
      <c r="C678">
        <f t="shared" si="42"/>
        <v>9805.6757170541478</v>
      </c>
      <c r="D678">
        <f t="shared" si="43"/>
        <v>11148.146744282369</v>
      </c>
      <c r="E678">
        <f t="shared" si="40"/>
        <v>-0.12042100431775749</v>
      </c>
      <c r="F678" s="1">
        <f t="shared" si="41"/>
        <v>-1.9432428294585247E-2</v>
      </c>
    </row>
    <row r="679" spans="1:6" x14ac:dyDescent="0.35">
      <c r="A679" s="2">
        <v>45237</v>
      </c>
      <c r="B679">
        <v>-3.5795644450113288E-4</v>
      </c>
      <c r="C679">
        <f t="shared" si="42"/>
        <v>9802.1657122385404</v>
      </c>
      <c r="D679">
        <f t="shared" si="43"/>
        <v>11148.146744282369</v>
      </c>
      <c r="E679">
        <f t="shared" si="40"/>
        <v>-0.12073585528770969</v>
      </c>
      <c r="F679" s="1">
        <f t="shared" si="41"/>
        <v>-1.9783428776145917E-2</v>
      </c>
    </row>
    <row r="680" spans="1:6" x14ac:dyDescent="0.35">
      <c r="A680" s="2">
        <v>45238</v>
      </c>
      <c r="B680">
        <v>-7.0088938209415829E-4</v>
      </c>
      <c r="C680">
        <f t="shared" si="42"/>
        <v>9795.2954783693058</v>
      </c>
      <c r="D680">
        <f t="shared" si="43"/>
        <v>11148.146744282369</v>
      </c>
      <c r="E680">
        <f t="shared" si="40"/>
        <v>-0.12135212219079461</v>
      </c>
      <c r="F680" s="1">
        <f t="shared" si="41"/>
        <v>-2.0470452163069419E-2</v>
      </c>
    </row>
    <row r="681" spans="1:6" x14ac:dyDescent="0.35">
      <c r="A681" s="2">
        <v>45239</v>
      </c>
      <c r="B681">
        <v>-8.6667015647762923E-3</v>
      </c>
      <c r="C681">
        <f t="shared" si="42"/>
        <v>9710.4025757194759</v>
      </c>
      <c r="D681">
        <f t="shared" si="43"/>
        <v>11148.146744282369</v>
      </c>
      <c r="E681">
        <f t="shared" si="40"/>
        <v>-0.12896710112829102</v>
      </c>
      <c r="F681" s="1">
        <f t="shared" si="41"/>
        <v>-2.8959742428052437E-2</v>
      </c>
    </row>
    <row r="682" spans="1:6" x14ac:dyDescent="0.35">
      <c r="A682" s="2">
        <v>45240</v>
      </c>
      <c r="B682">
        <v>6.7432666573077251E-3</v>
      </c>
      <c r="C682">
        <f t="shared" si="42"/>
        <v>9775.882409637361</v>
      </c>
      <c r="D682">
        <f t="shared" si="43"/>
        <v>11148.146744282369</v>
      </c>
      <c r="E682">
        <f t="shared" si="40"/>
        <v>-0.12309349402391123</v>
      </c>
      <c r="F682" s="1">
        <f t="shared" si="41"/>
        <v>-2.2411759036263912E-2</v>
      </c>
    </row>
    <row r="683" spans="1:6" x14ac:dyDescent="0.35">
      <c r="A683" s="2">
        <v>45243</v>
      </c>
      <c r="B683">
        <v>5.6279798499408941E-4</v>
      </c>
      <c r="C683">
        <f t="shared" si="42"/>
        <v>9781.3842565590439</v>
      </c>
      <c r="D683">
        <f t="shared" si="43"/>
        <v>11148.146744282369</v>
      </c>
      <c r="E683">
        <f t="shared" si="40"/>
        <v>-0.12259997280931978</v>
      </c>
      <c r="F683" s="1">
        <f t="shared" si="41"/>
        <v>-2.1861574344095636E-2</v>
      </c>
    </row>
    <row r="684" spans="1:6" x14ac:dyDescent="0.35">
      <c r="A684" s="2">
        <v>45244</v>
      </c>
      <c r="B684">
        <v>2.2855485465667069E-2</v>
      </c>
      <c r="C684">
        <f t="shared" si="42"/>
        <v>10004.942542268935</v>
      </c>
      <c r="D684">
        <f t="shared" si="43"/>
        <v>11148.146744282369</v>
      </c>
      <c r="E684">
        <f t="shared" si="40"/>
        <v>-0.10254656924028716</v>
      </c>
      <c r="F684" s="1">
        <f t="shared" si="41"/>
        <v>4.9425422689353127E-4</v>
      </c>
    </row>
    <row r="685" spans="1:6" x14ac:dyDescent="0.35">
      <c r="A685" s="2">
        <v>45245</v>
      </c>
      <c r="B685">
        <v>-2.0906822585779251E-3</v>
      </c>
      <c r="C685">
        <f t="shared" si="42"/>
        <v>9984.0253863977214</v>
      </c>
      <c r="D685">
        <f t="shared" si="43"/>
        <v>11148.146744282369</v>
      </c>
      <c r="E685">
        <f t="shared" si="40"/>
        <v>-0.10442285920587646</v>
      </c>
      <c r="F685" s="1">
        <f t="shared" si="41"/>
        <v>-1.5974613602278698E-3</v>
      </c>
    </row>
    <row r="686" spans="1:6" x14ac:dyDescent="0.35">
      <c r="A686" s="2">
        <v>45246</v>
      </c>
      <c r="B686">
        <v>-8.0664460140846689E-4</v>
      </c>
      <c r="C686">
        <f t="shared" si="42"/>
        <v>9975.9718262194583</v>
      </c>
      <c r="D686">
        <f t="shared" si="43"/>
        <v>11148.146744282369</v>
      </c>
      <c r="E686">
        <f t="shared" si="40"/>
        <v>-0.10514527167164289</v>
      </c>
      <c r="F686" s="1">
        <f t="shared" si="41"/>
        <v>-2.4028173780541451E-3</v>
      </c>
    </row>
    <row r="687" spans="1:6" x14ac:dyDescent="0.35">
      <c r="A687" s="2">
        <v>45247</v>
      </c>
      <c r="B687">
        <v>4.5019947651998831E-3</v>
      </c>
      <c r="C687">
        <f t="shared" si="42"/>
        <v>10020.88359915888</v>
      </c>
      <c r="D687">
        <f t="shared" si="43"/>
        <v>11148.146744282369</v>
      </c>
      <c r="E687">
        <f t="shared" si="40"/>
        <v>-0.10111664036909418</v>
      </c>
      <c r="F687" s="1">
        <f t="shared" si="41"/>
        <v>2.0883599158880717E-3</v>
      </c>
    </row>
    <row r="688" spans="1:6" x14ac:dyDescent="0.35">
      <c r="A688" s="2">
        <v>45250</v>
      </c>
      <c r="B688">
        <v>6.0619095588576918E-3</v>
      </c>
      <c r="C688">
        <f t="shared" si="42"/>
        <v>10081.629289236822</v>
      </c>
      <c r="D688">
        <f t="shared" si="43"/>
        <v>11148.146744282369</v>
      </c>
      <c r="E688">
        <f t="shared" si="40"/>
        <v>-9.566769073904946E-2</v>
      </c>
      <c r="F688" s="1">
        <f t="shared" si="41"/>
        <v>8.1629289236822E-3</v>
      </c>
    </row>
    <row r="689" spans="1:6" x14ac:dyDescent="0.35">
      <c r="A689" s="2">
        <v>45251</v>
      </c>
      <c r="B689">
        <v>-1.5837880123074251E-3</v>
      </c>
      <c r="C689">
        <f t="shared" si="42"/>
        <v>10065.662125624001</v>
      </c>
      <c r="D689">
        <f t="shared" si="43"/>
        <v>11148.146744282369</v>
      </c>
      <c r="E689">
        <f t="shared" si="40"/>
        <v>-9.70999614095992E-2</v>
      </c>
      <c r="F689" s="1">
        <f t="shared" si="41"/>
        <v>6.5662125624001977E-3</v>
      </c>
    </row>
    <row r="690" spans="1:6" x14ac:dyDescent="0.35">
      <c r="A690" s="2">
        <v>45252</v>
      </c>
      <c r="B690">
        <v>1.2980995599981161E-3</v>
      </c>
      <c r="C690">
        <f t="shared" si="42"/>
        <v>10078.728357200363</v>
      </c>
      <c r="D690">
        <f t="shared" si="43"/>
        <v>11148.146744282369</v>
      </c>
      <c r="E690">
        <f t="shared" si="40"/>
        <v>-9.5927907266782797E-2</v>
      </c>
      <c r="F690" s="1">
        <f t="shared" si="41"/>
        <v>7.8728357200363863E-3</v>
      </c>
    </row>
    <row r="691" spans="1:6" x14ac:dyDescent="0.35">
      <c r="A691" s="2">
        <v>45254</v>
      </c>
      <c r="B691">
        <v>-6.319711069559667E-4</v>
      </c>
      <c r="C691">
        <f t="shared" si="42"/>
        <v>10072.358892083754</v>
      </c>
      <c r="D691">
        <f t="shared" si="43"/>
        <v>11148.146744282369</v>
      </c>
      <c r="E691">
        <f t="shared" si="40"/>
        <v>-9.6499254707995474E-2</v>
      </c>
      <c r="F691" s="1">
        <f t="shared" si="41"/>
        <v>7.2358892083754789E-3</v>
      </c>
    </row>
    <row r="692" spans="1:6" x14ac:dyDescent="0.35">
      <c r="A692" s="2">
        <v>45257</v>
      </c>
      <c r="B692">
        <v>2.0061986571509329E-3</v>
      </c>
      <c r="C692">
        <f t="shared" si="42"/>
        <v>10092.566044967394</v>
      </c>
      <c r="D692">
        <f t="shared" si="43"/>
        <v>11148.146744282369</v>
      </c>
      <c r="E692">
        <f t="shared" si="40"/>
        <v>-9.4686652726055809E-2</v>
      </c>
      <c r="F692" s="1">
        <f t="shared" si="41"/>
        <v>9.2566044967394845E-3</v>
      </c>
    </row>
    <row r="693" spans="1:6" x14ac:dyDescent="0.35">
      <c r="A693" s="2">
        <v>45258</v>
      </c>
      <c r="B693">
        <v>4.6056305477927828E-3</v>
      </c>
      <c r="C693">
        <f t="shared" si="42"/>
        <v>10139.048675449712</v>
      </c>
      <c r="D693">
        <f t="shared" si="43"/>
        <v>11148.146744282369</v>
      </c>
      <c r="E693">
        <f t="shared" si="40"/>
        <v>-9.0517113918526348E-2</v>
      </c>
      <c r="F693" s="1">
        <f t="shared" si="41"/>
        <v>1.3904867544971333E-2</v>
      </c>
    </row>
    <row r="694" spans="1:6" x14ac:dyDescent="0.35">
      <c r="A694" s="2">
        <v>45259</v>
      </c>
      <c r="B694">
        <v>3.8933382756184249E-3</v>
      </c>
      <c r="C694">
        <f t="shared" si="42"/>
        <v>10178.523421736198</v>
      </c>
      <c r="D694">
        <f t="shared" si="43"/>
        <v>11148.146744282369</v>
      </c>
      <c r="E694">
        <f t="shared" si="40"/>
        <v>-8.6976189387125591E-2</v>
      </c>
      <c r="F694" s="1">
        <f t="shared" si="41"/>
        <v>1.7852342173619862E-2</v>
      </c>
    </row>
    <row r="695" spans="1:6" x14ac:dyDescent="0.35">
      <c r="A695" s="2">
        <v>45260</v>
      </c>
      <c r="B695">
        <v>-2.572663569489742E-3</v>
      </c>
      <c r="C695">
        <f t="shared" si="42"/>
        <v>10152.337505337899</v>
      </c>
      <c r="D695">
        <f t="shared" si="43"/>
        <v>11148.146744282369</v>
      </c>
      <c r="E695">
        <f t="shared" si="40"/>
        <v>-8.93250924827661E-2</v>
      </c>
      <c r="F695" s="1">
        <f t="shared" si="41"/>
        <v>1.5233750533789836E-2</v>
      </c>
    </row>
    <row r="696" spans="1:6" x14ac:dyDescent="0.35">
      <c r="A696" s="2">
        <v>45261</v>
      </c>
      <c r="B696">
        <v>1.1553122728646739E-2</v>
      </c>
      <c r="C696">
        <f t="shared" si="42"/>
        <v>10269.62870651971</v>
      </c>
      <c r="D696">
        <f t="shared" si="43"/>
        <v>11148.146744282369</v>
      </c>
      <c r="E696">
        <f t="shared" si="40"/>
        <v>-7.8803953510320435E-2</v>
      </c>
      <c r="F696" s="1">
        <f t="shared" si="41"/>
        <v>2.6962870651971116E-2</v>
      </c>
    </row>
    <row r="697" spans="1:6" x14ac:dyDescent="0.35">
      <c r="A697" s="2">
        <v>45264</v>
      </c>
      <c r="B697">
        <v>-4.9326368521666157E-3</v>
      </c>
      <c r="C697">
        <f t="shared" si="42"/>
        <v>10218.972357503862</v>
      </c>
      <c r="D697">
        <f t="shared" si="43"/>
        <v>11148.146744282369</v>
      </c>
      <c r="E697">
        <f t="shared" si="40"/>
        <v>-8.3347879077305675E-2</v>
      </c>
      <c r="F697" s="1">
        <f t="shared" si="41"/>
        <v>2.1897235750386157E-2</v>
      </c>
    </row>
    <row r="698" spans="1:6" x14ac:dyDescent="0.35">
      <c r="A698" s="2">
        <v>45265</v>
      </c>
      <c r="B698">
        <v>-2.191980779632247E-4</v>
      </c>
      <c r="C698">
        <f t="shared" si="42"/>
        <v>10216.732378404338</v>
      </c>
      <c r="D698">
        <f t="shared" si="43"/>
        <v>11148.146744282369</v>
      </c>
      <c r="E698">
        <f t="shared" si="40"/>
        <v>-8.3548807460372854E-2</v>
      </c>
      <c r="F698" s="1">
        <f t="shared" si="41"/>
        <v>2.1673237840433845E-2</v>
      </c>
    </row>
    <row r="699" spans="1:6" x14ac:dyDescent="0.35">
      <c r="A699" s="2">
        <v>45266</v>
      </c>
      <c r="B699">
        <v>-1.013593430857042E-3</v>
      </c>
      <c r="C699">
        <f t="shared" si="42"/>
        <v>10206.376765580762</v>
      </c>
      <c r="D699">
        <f t="shared" si="43"/>
        <v>11148.146744282369</v>
      </c>
      <c r="E699">
        <f t="shared" si="40"/>
        <v>-8.4477716368832168E-2</v>
      </c>
      <c r="F699" s="1">
        <f t="shared" si="41"/>
        <v>2.0637676558076246E-2</v>
      </c>
    </row>
    <row r="700" spans="1:6" x14ac:dyDescent="0.35">
      <c r="A700" s="2">
        <v>45267</v>
      </c>
      <c r="B700">
        <v>3.2823806202510121E-3</v>
      </c>
      <c r="C700">
        <f t="shared" si="42"/>
        <v>10239.877978879085</v>
      </c>
      <c r="D700">
        <f t="shared" si="43"/>
        <v>11148.146744282369</v>
      </c>
      <c r="E700">
        <f t="shared" si="40"/>
        <v>-8.1472623767633312E-2</v>
      </c>
      <c r="F700" s="1">
        <f t="shared" si="41"/>
        <v>2.3987797887908613E-2</v>
      </c>
    </row>
    <row r="701" spans="1:6" x14ac:dyDescent="0.35">
      <c r="A701" s="2">
        <v>45268</v>
      </c>
      <c r="B701">
        <v>-1.465502422454525E-3</v>
      </c>
      <c r="C701">
        <f t="shared" si="42"/>
        <v>10224.871412895398</v>
      </c>
      <c r="D701">
        <f t="shared" si="43"/>
        <v>11148.146744282369</v>
      </c>
      <c r="E701">
        <f t="shared" si="40"/>
        <v>-8.28187278625927E-2</v>
      </c>
      <c r="F701" s="1">
        <f t="shared" si="41"/>
        <v>2.2487141289539769E-2</v>
      </c>
    </row>
    <row r="702" spans="1:6" x14ac:dyDescent="0.35">
      <c r="A702" s="2">
        <v>45271</v>
      </c>
      <c r="B702">
        <v>6.7977575018230828E-4</v>
      </c>
      <c r="C702">
        <f t="shared" si="42"/>
        <v>10231.822032530617</v>
      </c>
      <c r="D702">
        <f t="shared" si="43"/>
        <v>11148.146744282369</v>
      </c>
      <c r="E702">
        <f t="shared" si="40"/>
        <v>-8.2195250275272302E-2</v>
      </c>
      <c r="F702" s="1">
        <f t="shared" si="41"/>
        <v>2.3182203253061751E-2</v>
      </c>
    </row>
    <row r="703" spans="1:6" x14ac:dyDescent="0.35">
      <c r="A703" s="2">
        <v>45272</v>
      </c>
      <c r="B703">
        <v>8.4625744536243367E-4</v>
      </c>
      <c r="C703">
        <f t="shared" si="42"/>
        <v>10240.480788105271</v>
      </c>
      <c r="D703">
        <f t="shared" si="43"/>
        <v>11148.146744282369</v>
      </c>
      <c r="E703">
        <f t="shared" si="40"/>
        <v>-8.1418551172428577E-2</v>
      </c>
      <c r="F703" s="1">
        <f t="shared" si="41"/>
        <v>2.4048078810527063E-2</v>
      </c>
    </row>
    <row r="704" spans="1:6" x14ac:dyDescent="0.35">
      <c r="A704" s="2">
        <v>45273</v>
      </c>
      <c r="B704">
        <v>1.8967200144018911E-2</v>
      </c>
      <c r="C704">
        <f t="shared" si="42"/>
        <v>10434.714036784244</v>
      </c>
      <c r="D704">
        <f t="shared" si="43"/>
        <v>11148.146744282369</v>
      </c>
      <c r="E704">
        <f t="shared" si="40"/>
        <v>-6.3995632983933293E-2</v>
      </c>
      <c r="F704" s="1">
        <f t="shared" si="41"/>
        <v>4.3471403678424503E-2</v>
      </c>
    </row>
    <row r="705" spans="1:6" x14ac:dyDescent="0.35">
      <c r="A705" s="2">
        <v>45274</v>
      </c>
      <c r="B705">
        <v>1.274234544195013E-2</v>
      </c>
      <c r="C705">
        <f t="shared" si="42"/>
        <v>10567.676767628915</v>
      </c>
      <c r="D705">
        <f t="shared" si="43"/>
        <v>11148.146744282369</v>
      </c>
      <c r="E705">
        <f t="shared" si="40"/>
        <v>-5.2068742004240609E-2</v>
      </c>
      <c r="F705" s="1">
        <f t="shared" si="41"/>
        <v>5.6767676762891517E-2</v>
      </c>
    </row>
    <row r="706" spans="1:6" x14ac:dyDescent="0.35">
      <c r="A706" s="2">
        <v>45275</v>
      </c>
      <c r="B706">
        <v>-3.8165189390712579E-3</v>
      </c>
      <c r="C706">
        <f t="shared" si="42"/>
        <v>10527.345029103275</v>
      </c>
      <c r="D706">
        <f t="shared" si="43"/>
        <v>11148.146744282369</v>
      </c>
      <c r="E706">
        <f t="shared" si="40"/>
        <v>-5.5686539603319152E-2</v>
      </c>
      <c r="F706" s="1">
        <f t="shared" si="41"/>
        <v>5.2734502910327441E-2</v>
      </c>
    </row>
    <row r="707" spans="1:6" x14ac:dyDescent="0.35">
      <c r="A707" s="2">
        <v>45278</v>
      </c>
      <c r="B707">
        <v>8.3173664003638329E-4</v>
      </c>
      <c r="C707">
        <f t="shared" si="42"/>
        <v>10536.101007686284</v>
      </c>
      <c r="D707">
        <f t="shared" si="43"/>
        <v>11148.146744282369</v>
      </c>
      <c r="E707">
        <f t="shared" ref="E707:E770" si="44">(C707/D707)-1</f>
        <v>-5.4901119498627748E-2</v>
      </c>
      <c r="F707" s="1">
        <f t="shared" ref="F707:F770" si="45">C707/$C$2-1</f>
        <v>5.3610100768628488E-2</v>
      </c>
    </row>
    <row r="708" spans="1:6" x14ac:dyDescent="0.35">
      <c r="A708" s="2">
        <v>45279</v>
      </c>
      <c r="B708">
        <v>6.7475391712407172E-3</v>
      </c>
      <c r="C708">
        <f t="shared" ref="C708:C771" si="46">C707*(1+B708)</f>
        <v>10607.193761947798</v>
      </c>
      <c r="D708">
        <f t="shared" ref="D708:D771" si="47">MAX(D707,C708)</f>
        <v>11148.146744282369</v>
      </c>
      <c r="E708">
        <f t="shared" si="44"/>
        <v>-4.8524027781748913E-2</v>
      </c>
      <c r="F708" s="1">
        <f t="shared" si="45"/>
        <v>6.0719376194779739E-2</v>
      </c>
    </row>
    <row r="709" spans="1:6" x14ac:dyDescent="0.35">
      <c r="A709" s="2">
        <v>45280</v>
      </c>
      <c r="B709">
        <v>-7.5924331642211827E-3</v>
      </c>
      <c r="C709">
        <f t="shared" si="46"/>
        <v>10526.659352250264</v>
      </c>
      <c r="D709">
        <f t="shared" si="47"/>
        <v>11148.146744282369</v>
      </c>
      <c r="E709">
        <f t="shared" si="44"/>
        <v>-5.5748045508178357E-2</v>
      </c>
      <c r="F709" s="1">
        <f t="shared" si="45"/>
        <v>5.2665935225026494E-2</v>
      </c>
    </row>
    <row r="710" spans="1:6" x14ac:dyDescent="0.35">
      <c r="A710" s="2">
        <v>45281</v>
      </c>
      <c r="B710">
        <v>7.2626076273287826E-3</v>
      </c>
      <c r="C710">
        <f t="shared" si="46"/>
        <v>10603.110348752209</v>
      </c>
      <c r="D710">
        <f t="shared" si="47"/>
        <v>11148.146744282369</v>
      </c>
      <c r="E710">
        <f t="shared" si="44"/>
        <v>-4.8890314061366014E-2</v>
      </c>
      <c r="F710" s="1">
        <f t="shared" si="45"/>
        <v>6.0311034875220937E-2</v>
      </c>
    </row>
    <row r="711" spans="1:6" x14ac:dyDescent="0.35">
      <c r="A711" s="2">
        <v>45282</v>
      </c>
      <c r="B711">
        <v>5.9354291692915832E-4</v>
      </c>
      <c r="C711">
        <f t="shared" si="46"/>
        <v>10609.403749797129</v>
      </c>
      <c r="D711">
        <f t="shared" si="47"/>
        <v>11148.146744282369</v>
      </c>
      <c r="E711">
        <f t="shared" si="44"/>
        <v>-4.8325789644054318E-2</v>
      </c>
      <c r="F711" s="1">
        <f t="shared" si="45"/>
        <v>6.0940374979713052E-2</v>
      </c>
    </row>
    <row r="712" spans="1:6" x14ac:dyDescent="0.35">
      <c r="A712" s="2">
        <v>45286</v>
      </c>
      <c r="B712">
        <v>5.6825169546324081E-3</v>
      </c>
      <c r="C712">
        <f t="shared" si="46"/>
        <v>10669.691866483892</v>
      </c>
      <c r="D712">
        <f t="shared" si="47"/>
        <v>11148.146744282369</v>
      </c>
      <c r="E712">
        <f t="shared" si="44"/>
        <v>-4.2917884808420292E-2</v>
      </c>
      <c r="F712" s="1">
        <f t="shared" si="45"/>
        <v>6.6969186648389245E-2</v>
      </c>
    </row>
    <row r="713" spans="1:6" x14ac:dyDescent="0.35">
      <c r="A713" s="2">
        <v>45287</v>
      </c>
      <c r="B713">
        <v>5.2012192506601584E-3</v>
      </c>
      <c r="C713">
        <f t="shared" si="46"/>
        <v>10725.18727321846</v>
      </c>
      <c r="D713">
        <f t="shared" si="47"/>
        <v>11148.146744282369</v>
      </c>
      <c r="E713">
        <f t="shared" si="44"/>
        <v>-3.7939890886423355E-2</v>
      </c>
      <c r="F713" s="1">
        <f t="shared" si="45"/>
        <v>7.2518727321845944E-2</v>
      </c>
    </row>
    <row r="714" spans="1:6" x14ac:dyDescent="0.35">
      <c r="A714" s="2">
        <v>45288</v>
      </c>
      <c r="B714">
        <v>-1.909336160124933E-3</v>
      </c>
      <c r="C714">
        <f t="shared" si="46"/>
        <v>10704.709285333593</v>
      </c>
      <c r="D714">
        <f t="shared" si="47"/>
        <v>11148.146744282369</v>
      </c>
      <c r="E714">
        <f t="shared" si="44"/>
        <v>-3.9776787040967654E-2</v>
      </c>
      <c r="F714" s="1">
        <f t="shared" si="45"/>
        <v>7.0470928533359345E-2</v>
      </c>
    </row>
    <row r="715" spans="1:6" x14ac:dyDescent="0.35">
      <c r="A715" s="2">
        <v>45289</v>
      </c>
      <c r="B715">
        <v>-5.0724687954878918E-3</v>
      </c>
      <c r="C715">
        <f t="shared" si="46"/>
        <v>10650.409981518969</v>
      </c>
      <c r="D715">
        <f t="shared" si="47"/>
        <v>11148.146744282369</v>
      </c>
      <c r="E715">
        <f t="shared" si="44"/>
        <v>-4.4647489325405298E-2</v>
      </c>
      <c r="F715" s="1">
        <f t="shared" si="45"/>
        <v>6.50409981518969E-2</v>
      </c>
    </row>
    <row r="716" spans="1:6" x14ac:dyDescent="0.35">
      <c r="A716" s="2">
        <v>45293</v>
      </c>
      <c r="B716">
        <v>-6.0699635043510169E-3</v>
      </c>
      <c r="C716">
        <f t="shared" si="46"/>
        <v>10585.762381624772</v>
      </c>
      <c r="D716">
        <f t="shared" si="47"/>
        <v>11148.146744282369</v>
      </c>
      <c r="E716">
        <f t="shared" si="44"/>
        <v>-5.0446444198990359E-2</v>
      </c>
      <c r="F716" s="1">
        <f t="shared" si="45"/>
        <v>5.8576238162477257E-2</v>
      </c>
    </row>
    <row r="717" spans="1:6" x14ac:dyDescent="0.35">
      <c r="A717" s="2">
        <v>45294</v>
      </c>
      <c r="B717">
        <v>-6.3603921777281077E-3</v>
      </c>
      <c r="C717">
        <f t="shared" si="46"/>
        <v>10518.432781377398</v>
      </c>
      <c r="D717">
        <f t="shared" si="47"/>
        <v>11148.146744282369</v>
      </c>
      <c r="E717">
        <f t="shared" si="44"/>
        <v>-5.6485977207640925E-2</v>
      </c>
      <c r="F717" s="1">
        <f t="shared" si="45"/>
        <v>5.1843278137739812E-2</v>
      </c>
    </row>
    <row r="718" spans="1:6" x14ac:dyDescent="0.35">
      <c r="A718" s="2">
        <v>45295</v>
      </c>
      <c r="B718">
        <v>-4.0210067676334079E-3</v>
      </c>
      <c r="C718">
        <f t="shared" si="46"/>
        <v>10476.138091978582</v>
      </c>
      <c r="D718">
        <f t="shared" si="47"/>
        <v>11148.146744282369</v>
      </c>
      <c r="E718">
        <f t="shared" si="44"/>
        <v>-6.0279853478646062E-2</v>
      </c>
      <c r="F718" s="1">
        <f t="shared" si="45"/>
        <v>4.7613809197858181E-2</v>
      </c>
    </row>
    <row r="719" spans="1:6" x14ac:dyDescent="0.35">
      <c r="A719" s="2">
        <v>45296</v>
      </c>
      <c r="B719">
        <v>-9.8647364351873317E-4</v>
      </c>
      <c r="C719">
        <f t="shared" si="46"/>
        <v>10465.803657864983</v>
      </c>
      <c r="D719">
        <f t="shared" si="47"/>
        <v>11148.146744282369</v>
      </c>
      <c r="E719">
        <f t="shared" si="44"/>
        <v>-6.1206862635472925E-2</v>
      </c>
      <c r="F719" s="1">
        <f t="shared" si="45"/>
        <v>4.6580365786498268E-2</v>
      </c>
    </row>
    <row r="720" spans="1:6" x14ac:dyDescent="0.35">
      <c r="A720" s="2">
        <v>45299</v>
      </c>
      <c r="B720">
        <v>7.0751210274219659E-3</v>
      </c>
      <c r="C720">
        <f t="shared" si="46"/>
        <v>10539.850485393614</v>
      </c>
      <c r="D720">
        <f t="shared" si="47"/>
        <v>11148.146744282369</v>
      </c>
      <c r="E720">
        <f t="shared" si="44"/>
        <v>-5.4564787568905704E-2</v>
      </c>
      <c r="F720" s="1">
        <f t="shared" si="45"/>
        <v>5.3985048539361369E-2</v>
      </c>
    </row>
    <row r="721" spans="1:6" x14ac:dyDescent="0.35">
      <c r="A721" s="2">
        <v>45300</v>
      </c>
      <c r="B721">
        <v>-2.8457638293781749E-3</v>
      </c>
      <c r="C721">
        <f t="shared" si="46"/>
        <v>10509.856560115226</v>
      </c>
      <c r="D721">
        <f t="shared" si="47"/>
        <v>11148.146744282369</v>
      </c>
      <c r="E721">
        <f t="shared" si="44"/>
        <v>-5.7255272899462639E-2</v>
      </c>
      <c r="F721" s="1">
        <f t="shared" si="45"/>
        <v>5.0985656011522495E-2</v>
      </c>
    </row>
    <row r="722" spans="1:6" x14ac:dyDescent="0.35">
      <c r="A722" s="2">
        <v>45301</v>
      </c>
      <c r="B722">
        <v>2.9094536537925818E-4</v>
      </c>
      <c r="C722">
        <f t="shared" si="46"/>
        <v>10512.914354172191</v>
      </c>
      <c r="D722">
        <f t="shared" si="47"/>
        <v>11148.146744282369</v>
      </c>
      <c r="E722">
        <f t="shared" si="44"/>
        <v>-5.6980985690377017E-2</v>
      </c>
      <c r="F722" s="1">
        <f t="shared" si="45"/>
        <v>5.1291435417219144E-2</v>
      </c>
    </row>
    <row r="723" spans="1:6" x14ac:dyDescent="0.35">
      <c r="A723" s="2">
        <v>45302</v>
      </c>
      <c r="B723">
        <v>1.502027380950641E-3</v>
      </c>
      <c r="C723">
        <f t="shared" si="46"/>
        <v>10528.705039385748</v>
      </c>
      <c r="D723">
        <f t="shared" si="47"/>
        <v>11148.146744282369</v>
      </c>
      <c r="E723">
        <f t="shared" si="44"/>
        <v>-5.5564545310126889E-2</v>
      </c>
      <c r="F723" s="1">
        <f t="shared" si="45"/>
        <v>5.2870503938574842E-2</v>
      </c>
    </row>
    <row r="724" spans="1:6" x14ac:dyDescent="0.35">
      <c r="A724" s="2">
        <v>45303</v>
      </c>
      <c r="B724">
        <v>2.556505480311483E-3</v>
      </c>
      <c r="C724">
        <f t="shared" si="46"/>
        <v>10555.621731519519</v>
      </c>
      <c r="D724">
        <f t="shared" si="47"/>
        <v>11148.146744282369</v>
      </c>
      <c r="E724">
        <f t="shared" si="44"/>
        <v>-5.3150090894411917E-2</v>
      </c>
      <c r="F724" s="1">
        <f t="shared" si="45"/>
        <v>5.5562173151951999E-2</v>
      </c>
    </row>
    <row r="725" spans="1:6" x14ac:dyDescent="0.35">
      <c r="A725" s="2">
        <v>45307</v>
      </c>
      <c r="B725">
        <v>-1.0397832820994889E-2</v>
      </c>
      <c r="C725">
        <f t="shared" si="46"/>
        <v>10445.866141433518</v>
      </c>
      <c r="D725">
        <f t="shared" si="47"/>
        <v>11148.146744282369</v>
      </c>
      <c r="E725">
        <f t="shared" si="44"/>
        <v>-6.2995277955866014E-2</v>
      </c>
      <c r="F725" s="1">
        <f t="shared" si="45"/>
        <v>4.4586614143351744E-2</v>
      </c>
    </row>
    <row r="726" spans="1:6" x14ac:dyDescent="0.35">
      <c r="A726" s="2">
        <v>45308</v>
      </c>
      <c r="B726">
        <v>-7.0489721583195334E-3</v>
      </c>
      <c r="C726">
        <f t="shared" si="46"/>
        <v>10372.233521833021</v>
      </c>
      <c r="D726">
        <f t="shared" si="47"/>
        <v>11148.146744282369</v>
      </c>
      <c r="E726">
        <f t="shared" si="44"/>
        <v>-6.9600198153769055E-2</v>
      </c>
      <c r="F726" s="1">
        <f t="shared" si="45"/>
        <v>3.7223352183302083E-2</v>
      </c>
    </row>
    <row r="727" spans="1:6" x14ac:dyDescent="0.35">
      <c r="A727" s="2">
        <v>45309</v>
      </c>
      <c r="B727">
        <v>3.6659029476214001E-3</v>
      </c>
      <c r="C727">
        <f t="shared" si="46"/>
        <v>10410.257123274127</v>
      </c>
      <c r="D727">
        <f t="shared" si="47"/>
        <v>11148.146744282369</v>
      </c>
      <c r="E727">
        <f t="shared" si="44"/>
        <v>-6.6189442777714547E-2</v>
      </c>
      <c r="F727" s="1">
        <f t="shared" si="45"/>
        <v>4.10257123274127E-2</v>
      </c>
    </row>
    <row r="728" spans="1:6" x14ac:dyDescent="0.35">
      <c r="A728" s="2">
        <v>45310</v>
      </c>
      <c r="B728">
        <v>6.1559203788316332E-3</v>
      </c>
      <c r="C728">
        <f t="shared" si="46"/>
        <v>10474.341837248168</v>
      </c>
      <c r="D728">
        <f t="shared" si="47"/>
        <v>11148.146744282369</v>
      </c>
      <c r="E728">
        <f t="shared" si="44"/>
        <v>-6.0440979338541645E-2</v>
      </c>
      <c r="F728" s="1">
        <f t="shared" si="45"/>
        <v>4.7434183724816892E-2</v>
      </c>
    </row>
    <row r="729" spans="1:6" x14ac:dyDescent="0.35">
      <c r="A729" s="2">
        <v>45313</v>
      </c>
      <c r="B729">
        <v>3.1554737866171831E-3</v>
      </c>
      <c r="C729">
        <f t="shared" si="46"/>
        <v>10507.393348347674</v>
      </c>
      <c r="D729">
        <f t="shared" si="47"/>
        <v>11148.146744282369</v>
      </c>
      <c r="E729">
        <f t="shared" si="44"/>
        <v>-5.7476225477864573E-2</v>
      </c>
      <c r="F729" s="1">
        <f t="shared" si="45"/>
        <v>5.0739334834767336E-2</v>
      </c>
    </row>
    <row r="730" spans="1:6" x14ac:dyDescent="0.35">
      <c r="A730" s="2">
        <v>45314</v>
      </c>
      <c r="B730">
        <v>-2.3197204762411661E-4</v>
      </c>
      <c r="C730">
        <f t="shared" si="46"/>
        <v>10504.955926797466</v>
      </c>
      <c r="D730">
        <f t="shared" si="47"/>
        <v>11148.146744282369</v>
      </c>
      <c r="E730">
        <f t="shared" si="44"/>
        <v>-5.7694864647774846E-2</v>
      </c>
      <c r="F730" s="1">
        <f t="shared" si="45"/>
        <v>5.049559267974657E-2</v>
      </c>
    </row>
    <row r="731" spans="1:6" x14ac:dyDescent="0.35">
      <c r="A731" s="2">
        <v>45315</v>
      </c>
      <c r="B731">
        <v>-6.5932995911506661E-4</v>
      </c>
      <c r="C731">
        <f t="shared" si="46"/>
        <v>10498.029694635745</v>
      </c>
      <c r="D731">
        <f t="shared" si="47"/>
        <v>11148.146744282369</v>
      </c>
      <c r="E731">
        <f t="shared" si="44"/>
        <v>-5.8316154654140528E-2</v>
      </c>
      <c r="F731" s="1">
        <f t="shared" si="45"/>
        <v>4.9802969463574431E-2</v>
      </c>
    </row>
    <row r="732" spans="1:6" x14ac:dyDescent="0.35">
      <c r="A732" s="2">
        <v>45316</v>
      </c>
      <c r="B732">
        <v>5.7177324828329833E-3</v>
      </c>
      <c r="C732">
        <f t="shared" si="46"/>
        <v>10558.054620026509</v>
      </c>
      <c r="D732">
        <f t="shared" si="47"/>
        <v>11148.146744282369</v>
      </c>
      <c r="E732">
        <f t="shared" si="44"/>
        <v>-5.2931858343047478E-2</v>
      </c>
      <c r="F732" s="1">
        <f t="shared" si="45"/>
        <v>5.5805462002650907E-2</v>
      </c>
    </row>
    <row r="733" spans="1:6" x14ac:dyDescent="0.35">
      <c r="A733" s="2">
        <v>45317</v>
      </c>
      <c r="B733">
        <v>-6.9728285066610279E-4</v>
      </c>
      <c r="C733">
        <f t="shared" si="46"/>
        <v>10550.692669603568</v>
      </c>
      <c r="D733">
        <f t="shared" si="47"/>
        <v>11148.146744282369</v>
      </c>
      <c r="E733">
        <f t="shared" si="44"/>
        <v>-5.3592232716637045E-2</v>
      </c>
      <c r="F733" s="1">
        <f t="shared" si="45"/>
        <v>5.5069266960356744E-2</v>
      </c>
    </row>
    <row r="734" spans="1:6" x14ac:dyDescent="0.35">
      <c r="A734" s="2">
        <v>45320</v>
      </c>
      <c r="B734">
        <v>5.926736075527116E-3</v>
      </c>
      <c r="C734">
        <f t="shared" si="46"/>
        <v>10613.223840470306</v>
      </c>
      <c r="D734">
        <f t="shared" si="47"/>
        <v>11148.146744282369</v>
      </c>
      <c r="E734">
        <f t="shared" si="44"/>
        <v>-4.7983123660119809E-2</v>
      </c>
      <c r="F734" s="1">
        <f t="shared" si="45"/>
        <v>6.1322384047030498E-2</v>
      </c>
    </row>
    <row r="735" spans="1:6" x14ac:dyDescent="0.35">
      <c r="A735" s="2">
        <v>45321</v>
      </c>
      <c r="B735">
        <v>-1.183018996557358E-3</v>
      </c>
      <c r="C735">
        <f t="shared" si="46"/>
        <v>10600.668195052314</v>
      </c>
      <c r="D735">
        <f t="shared" si="47"/>
        <v>11148.146744282369</v>
      </c>
      <c r="E735">
        <f t="shared" si="44"/>
        <v>-4.9109377709873003E-2</v>
      </c>
      <c r="F735" s="1">
        <f t="shared" si="45"/>
        <v>6.0066819505231406E-2</v>
      </c>
    </row>
    <row r="736" spans="1:6" x14ac:dyDescent="0.35">
      <c r="A736" s="2">
        <v>45322</v>
      </c>
      <c r="B736">
        <v>-6.1544832577136166E-3</v>
      </c>
      <c r="C736">
        <f t="shared" si="46"/>
        <v>10535.426560125288</v>
      </c>
      <c r="D736">
        <f t="shared" si="47"/>
        <v>11148.146744282369</v>
      </c>
      <c r="E736">
        <f t="shared" si="44"/>
        <v>-5.4961618124674483E-2</v>
      </c>
      <c r="F736" s="1">
        <f t="shared" si="45"/>
        <v>5.3542656012528722E-2</v>
      </c>
    </row>
    <row r="737" spans="1:6" x14ac:dyDescent="0.35">
      <c r="A737" s="2">
        <v>45323</v>
      </c>
      <c r="B737">
        <v>9.4475197952485906E-3</v>
      </c>
      <c r="C737">
        <f t="shared" si="46"/>
        <v>10634.96021110346</v>
      </c>
      <c r="D737">
        <f t="shared" si="47"/>
        <v>11148.146744282369</v>
      </c>
      <c r="E737">
        <f t="shared" si="44"/>
        <v>-4.6033349304637539E-2</v>
      </c>
      <c r="F737" s="1">
        <f t="shared" si="45"/>
        <v>6.3496021110345913E-2</v>
      </c>
    </row>
    <row r="738" spans="1:6" x14ac:dyDescent="0.35">
      <c r="A738" s="2">
        <v>45324</v>
      </c>
      <c r="B738">
        <v>-5.878579392426057E-3</v>
      </c>
      <c r="C738">
        <f t="shared" si="46"/>
        <v>10572.441753167195</v>
      </c>
      <c r="D738">
        <f t="shared" si="47"/>
        <v>11148.146744282369</v>
      </c>
      <c r="E738">
        <f t="shared" si="44"/>
        <v>-5.1641317998477154E-2</v>
      </c>
      <c r="F738" s="1">
        <f t="shared" si="45"/>
        <v>5.7244175316719437E-2</v>
      </c>
    </row>
    <row r="739" spans="1:6" x14ac:dyDescent="0.35">
      <c r="A739" s="2">
        <v>45327</v>
      </c>
      <c r="B739">
        <v>-7.3517070951692326E-3</v>
      </c>
      <c r="C739">
        <f t="shared" si="46"/>
        <v>10494.716258117172</v>
      </c>
      <c r="D739">
        <f t="shared" si="47"/>
        <v>11148.146744282369</v>
      </c>
      <c r="E739">
        <f t="shared" si="44"/>
        <v>-5.8613373249713052E-2</v>
      </c>
      <c r="F739" s="1">
        <f t="shared" si="45"/>
        <v>4.9471625811717157E-2</v>
      </c>
    </row>
    <row r="740" spans="1:6" x14ac:dyDescent="0.35">
      <c r="A740" s="2">
        <v>45328</v>
      </c>
      <c r="B740">
        <v>7.1289490960958586E-3</v>
      </c>
      <c r="C740">
        <f t="shared" si="46"/>
        <v>10569.532556099261</v>
      </c>
      <c r="D740">
        <f t="shared" si="47"/>
        <v>11148.146744282369</v>
      </c>
      <c r="E740">
        <f t="shared" si="44"/>
        <v>-5.1902275907864781E-2</v>
      </c>
      <c r="F740" s="1">
        <f t="shared" si="45"/>
        <v>5.6953255609926146E-2</v>
      </c>
    </row>
    <row r="741" spans="1:6" x14ac:dyDescent="0.35">
      <c r="A741" s="2">
        <v>45329</v>
      </c>
      <c r="B741">
        <v>1.0014527340111751E-3</v>
      </c>
      <c r="C741">
        <f t="shared" si="46"/>
        <v>10580.117443374787</v>
      </c>
      <c r="D741">
        <f t="shared" si="47"/>
        <v>11148.146744282369</v>
      </c>
      <c r="E741">
        <f t="shared" si="44"/>
        <v>-5.0952800849962898E-2</v>
      </c>
      <c r="F741" s="1">
        <f t="shared" si="45"/>
        <v>5.8011744337478799E-2</v>
      </c>
    </row>
    <row r="742" spans="1:6" x14ac:dyDescent="0.35">
      <c r="A742" s="2">
        <v>45330</v>
      </c>
      <c r="B742">
        <v>6.7552173462066671E-4</v>
      </c>
      <c r="C742">
        <f t="shared" si="46"/>
        <v>10587.264542662626</v>
      </c>
      <c r="D742">
        <f t="shared" si="47"/>
        <v>11148.146744282369</v>
      </c>
      <c r="E742">
        <f t="shared" si="44"/>
        <v>-5.0311698839756169E-2</v>
      </c>
      <c r="F742" s="1">
        <f t="shared" si="45"/>
        <v>5.8726454266262662E-2</v>
      </c>
    </row>
    <row r="743" spans="1:6" x14ac:dyDescent="0.35">
      <c r="A743" s="2">
        <v>45331</v>
      </c>
      <c r="B743">
        <v>3.0830360185581749E-3</v>
      </c>
      <c r="C743">
        <f t="shared" si="46"/>
        <v>10619.905460585658</v>
      </c>
      <c r="D743">
        <f t="shared" si="47"/>
        <v>11148.146744282369</v>
      </c>
      <c r="E743">
        <f t="shared" si="44"/>
        <v>-4.738377560087581E-2</v>
      </c>
      <c r="F743" s="1">
        <f t="shared" si="45"/>
        <v>6.199054605856591E-2</v>
      </c>
    </row>
    <row r="744" spans="1:6" x14ac:dyDescent="0.35">
      <c r="A744" s="2">
        <v>45334</v>
      </c>
      <c r="B744">
        <v>1.788410110039802E-3</v>
      </c>
      <c r="C744">
        <f t="shared" si="46"/>
        <v>10638.898206879037</v>
      </c>
      <c r="D744">
        <f t="shared" si="47"/>
        <v>11148.146744282369</v>
      </c>
      <c r="E744">
        <f t="shared" si="44"/>
        <v>-4.5680107114172475E-2</v>
      </c>
      <c r="F744" s="1">
        <f t="shared" si="45"/>
        <v>6.388982068790372E-2</v>
      </c>
    </row>
    <row r="745" spans="1:6" x14ac:dyDescent="0.35">
      <c r="A745" s="2">
        <v>45335</v>
      </c>
      <c r="B745">
        <v>-1.6008146979319769E-2</v>
      </c>
      <c r="C745">
        <f t="shared" si="46"/>
        <v>10468.589160685297</v>
      </c>
      <c r="D745">
        <f t="shared" si="47"/>
        <v>11148.146744282369</v>
      </c>
      <c r="E745">
        <f t="shared" si="44"/>
        <v>-6.0957000224777458E-2</v>
      </c>
      <c r="F745" s="1">
        <f t="shared" si="45"/>
        <v>4.6858916068529544E-2</v>
      </c>
    </row>
    <row r="746" spans="1:6" x14ac:dyDescent="0.35">
      <c r="A746" s="2">
        <v>45336</v>
      </c>
      <c r="B746">
        <v>6.9916396210734991E-3</v>
      </c>
      <c r="C746">
        <f t="shared" si="46"/>
        <v>10541.781763437884</v>
      </c>
      <c r="D746">
        <f t="shared" si="47"/>
        <v>11148.146744282369</v>
      </c>
      <c r="E746">
        <f t="shared" si="44"/>
        <v>-5.4391549981657294E-2</v>
      </c>
      <c r="F746" s="1">
        <f t="shared" si="45"/>
        <v>5.417817634378852E-2</v>
      </c>
    </row>
    <row r="747" spans="1:6" x14ac:dyDescent="0.35">
      <c r="A747" s="2">
        <v>45337</v>
      </c>
      <c r="B747">
        <v>8.3349083955836407E-3</v>
      </c>
      <c r="C747">
        <f t="shared" si="46"/>
        <v>10629.646548762374</v>
      </c>
      <c r="D747">
        <f t="shared" si="47"/>
        <v>11148.146744282369</v>
      </c>
      <c r="E747">
        <f t="shared" si="44"/>
        <v>-4.650999017266455E-2</v>
      </c>
      <c r="F747" s="1">
        <f t="shared" si="45"/>
        <v>6.2964654876237258E-2</v>
      </c>
    </row>
    <row r="748" spans="1:6" x14ac:dyDescent="0.35">
      <c r="A748" s="2">
        <v>45338</v>
      </c>
      <c r="B748">
        <v>-3.535589634354967E-3</v>
      </c>
      <c r="C748">
        <f t="shared" si="46"/>
        <v>10592.064480607713</v>
      </c>
      <c r="D748">
        <f t="shared" si="47"/>
        <v>11148.146744282369</v>
      </c>
      <c r="E748">
        <f t="shared" si="44"/>
        <v>-4.9881139567871102E-2</v>
      </c>
      <c r="F748" s="1">
        <f t="shared" si="45"/>
        <v>5.9206448060771244E-2</v>
      </c>
    </row>
    <row r="749" spans="1:6" x14ac:dyDescent="0.35">
      <c r="A749" s="2">
        <v>45342</v>
      </c>
      <c r="B749">
        <v>-1.202408444788575E-3</v>
      </c>
      <c r="C749">
        <f t="shared" si="46"/>
        <v>10579.328492828485</v>
      </c>
      <c r="D749">
        <f t="shared" si="47"/>
        <v>11148.146744282369</v>
      </c>
      <c r="E749">
        <f t="shared" si="44"/>
        <v>-5.1023570509207583E-2</v>
      </c>
      <c r="F749" s="1">
        <f t="shared" si="45"/>
        <v>5.7932849282848364E-2</v>
      </c>
    </row>
    <row r="750" spans="1:6" x14ac:dyDescent="0.35">
      <c r="A750" s="2">
        <v>45343</v>
      </c>
      <c r="B750">
        <v>-8.4798648362703892E-4</v>
      </c>
      <c r="C750">
        <f t="shared" si="46"/>
        <v>10570.357365260716</v>
      </c>
      <c r="D750">
        <f t="shared" si="47"/>
        <v>11148.146744282369</v>
      </c>
      <c r="E750">
        <f t="shared" si="44"/>
        <v>-5.1828289694696439E-2</v>
      </c>
      <c r="F750" s="1">
        <f t="shared" si="45"/>
        <v>5.7035736526071634E-2</v>
      </c>
    </row>
    <row r="751" spans="1:6" x14ac:dyDescent="0.35">
      <c r="A751" s="2">
        <v>45344</v>
      </c>
      <c r="B751">
        <v>7.9515098055341731E-3</v>
      </c>
      <c r="C751">
        <f t="shared" si="46"/>
        <v>10654.407665498587</v>
      </c>
      <c r="D751">
        <f t="shared" si="47"/>
        <v>11148.146744282369</v>
      </c>
      <c r="E751">
        <f t="shared" si="44"/>
        <v>-4.4288893042873534E-2</v>
      </c>
      <c r="F751" s="1">
        <f t="shared" si="45"/>
        <v>6.5440766549858642E-2</v>
      </c>
    </row>
    <row r="752" spans="1:6" x14ac:dyDescent="0.35">
      <c r="A752" s="2">
        <v>45345</v>
      </c>
      <c r="B752">
        <v>1.089531706708541E-3</v>
      </c>
      <c r="C752">
        <f t="shared" si="46"/>
        <v>10666.015980466347</v>
      </c>
      <c r="D752">
        <f t="shared" si="47"/>
        <v>11148.146744282369</v>
      </c>
      <c r="E752">
        <f t="shared" si="44"/>
        <v>-4.3247615489390268E-2</v>
      </c>
      <c r="F752" s="1">
        <f t="shared" si="45"/>
        <v>6.6601598046634791E-2</v>
      </c>
    </row>
    <row r="753" spans="1:6" x14ac:dyDescent="0.35">
      <c r="A753" s="2">
        <v>45348</v>
      </c>
      <c r="B753">
        <v>-1.548597528515983E-3</v>
      </c>
      <c r="C753">
        <f t="shared" si="46"/>
        <v>10649.498614479884</v>
      </c>
      <c r="D753">
        <f t="shared" si="47"/>
        <v>11148.146744282369</v>
      </c>
      <c r="E753">
        <f t="shared" si="44"/>
        <v>-4.4729239867445258E-2</v>
      </c>
      <c r="F753" s="1">
        <f t="shared" si="45"/>
        <v>6.4949861447988422E-2</v>
      </c>
    </row>
    <row r="754" spans="1:6" x14ac:dyDescent="0.35">
      <c r="A754" s="2">
        <v>45349</v>
      </c>
      <c r="B754">
        <v>1.801796063672517E-3</v>
      </c>
      <c r="C754">
        <f t="shared" si="46"/>
        <v>10668.68683916354</v>
      </c>
      <c r="D754">
        <f t="shared" si="47"/>
        <v>11148.146744282369</v>
      </c>
      <c r="E754">
        <f t="shared" si="44"/>
        <v>-4.3008036772096969E-2</v>
      </c>
      <c r="F754" s="1">
        <f t="shared" si="45"/>
        <v>6.6868683916353922E-2</v>
      </c>
    </row>
    <row r="755" spans="1:6" x14ac:dyDescent="0.35">
      <c r="A755" s="2">
        <v>45350</v>
      </c>
      <c r="B755">
        <v>-1.3465805842409911E-3</v>
      </c>
      <c r="C755">
        <f t="shared" si="46"/>
        <v>10654.320592606575</v>
      </c>
      <c r="D755">
        <f t="shared" si="47"/>
        <v>11148.146744282369</v>
      </c>
      <c r="E755">
        <f t="shared" si="44"/>
        <v>-4.4296703569054352E-2</v>
      </c>
      <c r="F755" s="1">
        <f t="shared" si="45"/>
        <v>6.5432059260657427E-2</v>
      </c>
    </row>
    <row r="756" spans="1:6" x14ac:dyDescent="0.35">
      <c r="A756" s="2">
        <v>45351</v>
      </c>
      <c r="B756">
        <v>3.8604879052672831E-3</v>
      </c>
      <c r="C756">
        <f t="shared" si="46"/>
        <v>10695.451468393172</v>
      </c>
      <c r="D756">
        <f t="shared" si="47"/>
        <v>11148.146744282369</v>
      </c>
      <c r="E756">
        <f t="shared" si="44"/>
        <v>-4.0607222552158651E-2</v>
      </c>
      <c r="F756" s="1">
        <f t="shared" si="45"/>
        <v>6.9545146839317118E-2</v>
      </c>
    </row>
    <row r="757" spans="1:6" x14ac:dyDescent="0.35">
      <c r="A757" s="2">
        <v>45352</v>
      </c>
      <c r="B757">
        <v>9.4561436885408825E-3</v>
      </c>
      <c r="C757">
        <f t="shared" si="46"/>
        <v>10796.589194292115</v>
      </c>
      <c r="D757">
        <f t="shared" si="47"/>
        <v>11148.146744282369</v>
      </c>
      <c r="E757">
        <f t="shared" si="44"/>
        <v>-3.1535066594863381E-2</v>
      </c>
      <c r="F757" s="1">
        <f t="shared" si="45"/>
        <v>7.9658919429211439E-2</v>
      </c>
    </row>
    <row r="758" spans="1:6" x14ac:dyDescent="0.35">
      <c r="A758" s="2">
        <v>45355</v>
      </c>
      <c r="B758">
        <v>8.3249921413178294E-4</v>
      </c>
      <c r="C758">
        <f t="shared" si="46"/>
        <v>10805.577346311667</v>
      </c>
      <c r="D758">
        <f t="shared" si="47"/>
        <v>11148.146744282369</v>
      </c>
      <c r="E758">
        <f t="shared" si="44"/>
        <v>-3.0728820298889348E-2</v>
      </c>
      <c r="F758" s="1">
        <f t="shared" si="45"/>
        <v>8.0557734631166777E-2</v>
      </c>
    </row>
    <row r="759" spans="1:6" x14ac:dyDescent="0.35">
      <c r="A759" s="2">
        <v>45356</v>
      </c>
      <c r="B759">
        <v>-3.0761693273859249E-3</v>
      </c>
      <c r="C759">
        <f t="shared" si="46"/>
        <v>10772.337560714246</v>
      </c>
      <c r="D759">
        <f t="shared" si="47"/>
        <v>11148.146744282369</v>
      </c>
      <c r="E759">
        <f t="shared" si="44"/>
        <v>-3.3710462571805211E-2</v>
      </c>
      <c r="F759" s="1">
        <f t="shared" si="45"/>
        <v>7.7233756071424686E-2</v>
      </c>
    </row>
    <row r="760" spans="1:6" x14ac:dyDescent="0.35">
      <c r="A760" s="2">
        <v>45357</v>
      </c>
      <c r="B760">
        <v>6.6635980449453579E-3</v>
      </c>
      <c r="C760">
        <f t="shared" si="46"/>
        <v>10844.120088223313</v>
      </c>
      <c r="D760">
        <f t="shared" si="47"/>
        <v>11148.146744282369</v>
      </c>
      <c r="E760">
        <f t="shared" si="44"/>
        <v>-2.727149749934743E-2</v>
      </c>
      <c r="F760" s="1">
        <f t="shared" si="45"/>
        <v>8.4412008822331241E-2</v>
      </c>
    </row>
    <row r="761" spans="1:6" x14ac:dyDescent="0.35">
      <c r="A761" s="2">
        <v>45358</v>
      </c>
      <c r="B761">
        <v>5.3319613665037662E-3</v>
      </c>
      <c r="C761">
        <f t="shared" si="46"/>
        <v>10901.940517587447</v>
      </c>
      <c r="D761">
        <f t="shared" si="47"/>
        <v>11148.146744282369</v>
      </c>
      <c r="E761">
        <f t="shared" si="44"/>
        <v>-2.2084946703916919E-2</v>
      </c>
      <c r="F761" s="1">
        <f t="shared" si="45"/>
        <v>9.0194051758744731E-2</v>
      </c>
    </row>
    <row r="762" spans="1:6" x14ac:dyDescent="0.35">
      <c r="A762" s="2">
        <v>45359</v>
      </c>
      <c r="B762">
        <v>-6.5671224695875005E-4</v>
      </c>
      <c r="C762">
        <f t="shared" si="46"/>
        <v>10894.781079733932</v>
      </c>
      <c r="D762">
        <f t="shared" si="47"/>
        <v>11148.146744282369</v>
      </c>
      <c r="E762">
        <f t="shared" si="44"/>
        <v>-2.2727155495901874E-2</v>
      </c>
      <c r="F762" s="1">
        <f t="shared" si="45"/>
        <v>8.9478107973393062E-2</v>
      </c>
    </row>
    <row r="763" spans="1:6" x14ac:dyDescent="0.35">
      <c r="A763" s="2">
        <v>45362</v>
      </c>
      <c r="B763">
        <v>-1.007148439278816E-3</v>
      </c>
      <c r="C763">
        <f t="shared" si="46"/>
        <v>10883.808417973192</v>
      </c>
      <c r="D763">
        <f t="shared" si="47"/>
        <v>11148.146744282369</v>
      </c>
      <c r="E763">
        <f t="shared" si="44"/>
        <v>-2.3711414315993773E-2</v>
      </c>
      <c r="F763" s="1">
        <f t="shared" si="45"/>
        <v>8.8380841797319309E-2</v>
      </c>
    </row>
    <row r="764" spans="1:6" x14ac:dyDescent="0.35">
      <c r="A764" s="2">
        <v>45363</v>
      </c>
      <c r="B764">
        <v>1.012950428976358E-3</v>
      </c>
      <c r="C764">
        <f t="shared" si="46"/>
        <v>10894.833176379076</v>
      </c>
      <c r="D764">
        <f t="shared" si="47"/>
        <v>11148.146744282369</v>
      </c>
      <c r="E764">
        <f t="shared" si="44"/>
        <v>-2.2722482374320396E-2</v>
      </c>
      <c r="F764" s="1">
        <f t="shared" si="45"/>
        <v>8.9483317637907511E-2</v>
      </c>
    </row>
    <row r="765" spans="1:6" x14ac:dyDescent="0.35">
      <c r="A765" s="2">
        <v>45364</v>
      </c>
      <c r="B765">
        <v>-1.653590528799976E-5</v>
      </c>
      <c r="C765">
        <f t="shared" si="46"/>
        <v>10894.653020449541</v>
      </c>
      <c r="D765">
        <f t="shared" si="47"/>
        <v>11148.146744282369</v>
      </c>
      <c r="E765">
        <f t="shared" si="44"/>
        <v>-2.2738642542792009E-2</v>
      </c>
      <c r="F765" s="1">
        <f t="shared" si="45"/>
        <v>8.9465302044954065E-2</v>
      </c>
    </row>
    <row r="766" spans="1:6" x14ac:dyDescent="0.35">
      <c r="A766" s="2">
        <v>45365</v>
      </c>
      <c r="B766">
        <v>-7.1470270521187583E-3</v>
      </c>
      <c r="C766">
        <f t="shared" si="46"/>
        <v>10816.78864058894</v>
      </c>
      <c r="D766">
        <f t="shared" si="47"/>
        <v>11148.146744282369</v>
      </c>
      <c r="E766">
        <f t="shared" si="44"/>
        <v>-2.9723155901529075E-2</v>
      </c>
      <c r="F766" s="1">
        <f t="shared" si="45"/>
        <v>8.1678864058894129E-2</v>
      </c>
    </row>
    <row r="767" spans="1:6" x14ac:dyDescent="0.35">
      <c r="A767" s="2">
        <v>45366</v>
      </c>
      <c r="B767">
        <v>-2.2398353595412079E-3</v>
      </c>
      <c r="C767">
        <f t="shared" si="46"/>
        <v>10792.560814915065</v>
      </c>
      <c r="D767">
        <f t="shared" si="47"/>
        <v>11148.146744282369</v>
      </c>
      <c r="E767">
        <f t="shared" si="44"/>
        <v>-3.1896416285484896E-2</v>
      </c>
      <c r="F767" s="1">
        <f t="shared" si="45"/>
        <v>7.9256081491506425E-2</v>
      </c>
    </row>
    <row r="768" spans="1:6" x14ac:dyDescent="0.35">
      <c r="A768" s="2">
        <v>45369</v>
      </c>
      <c r="B768">
        <v>1.582560106730592E-3</v>
      </c>
      <c r="C768">
        <f t="shared" si="46"/>
        <v>10809.640691110213</v>
      </c>
      <c r="D768">
        <f t="shared" si="47"/>
        <v>11148.146744282369</v>
      </c>
      <c r="E768">
        <f t="shared" si="44"/>
        <v>-3.0364334174715402E-2</v>
      </c>
      <c r="F768" s="1">
        <f t="shared" si="45"/>
        <v>8.0964069111021386E-2</v>
      </c>
    </row>
    <row r="769" spans="1:6" x14ac:dyDescent="0.35">
      <c r="A769" s="2">
        <v>45370</v>
      </c>
      <c r="B769">
        <v>1.6498547059279249E-3</v>
      </c>
      <c r="C769">
        <f t="shared" si="46"/>
        <v>10827.47502767383</v>
      </c>
      <c r="D769">
        <f t="shared" si="47"/>
        <v>11148.146744282369</v>
      </c>
      <c r="E769">
        <f t="shared" si="44"/>
        <v>-2.8764576208418102E-2</v>
      </c>
      <c r="F769" s="1">
        <f t="shared" si="45"/>
        <v>8.2747502767382963E-2</v>
      </c>
    </row>
    <row r="770" spans="1:6" x14ac:dyDescent="0.35">
      <c r="A770" s="2">
        <v>45371</v>
      </c>
      <c r="B770">
        <v>7.1622840863119651E-3</v>
      </c>
      <c r="C770">
        <f t="shared" si="46"/>
        <v>10905.024479759479</v>
      </c>
      <c r="D770">
        <f t="shared" si="47"/>
        <v>11148.146744282369</v>
      </c>
      <c r="E770">
        <f t="shared" si="44"/>
        <v>-2.1808312188533185E-2</v>
      </c>
      <c r="F770" s="1">
        <f t="shared" si="45"/>
        <v>9.0502447975947975E-2</v>
      </c>
    </row>
    <row r="771" spans="1:6" x14ac:dyDescent="0.35">
      <c r="A771" s="2">
        <v>45372</v>
      </c>
      <c r="B771">
        <v>2.3622991715990002E-3</v>
      </c>
      <c r="C771">
        <f t="shared" si="46"/>
        <v>10930.785410054281</v>
      </c>
      <c r="D771">
        <f t="shared" si="47"/>
        <v>11148.146744282369</v>
      </c>
      <c r="E771">
        <f t="shared" ref="E771:E834" si="48">(C771/D771)-1</f>
        <v>-1.9497530774751137E-2</v>
      </c>
      <c r="F771" s="1">
        <f t="shared" ref="F771:F834" si="49">C771/$C$2-1</f>
        <v>9.3078541005428006E-2</v>
      </c>
    </row>
    <row r="772" spans="1:6" x14ac:dyDescent="0.35">
      <c r="A772" s="2">
        <v>45373</v>
      </c>
      <c r="B772">
        <v>-2.874554313102949E-3</v>
      </c>
      <c r="C772">
        <f t="shared" ref="C772:C835" si="50">C771*(1+B772)</f>
        <v>10899.364273708206</v>
      </c>
      <c r="D772">
        <f t="shared" ref="D772:D835" si="51">MAX(D771,C772)</f>
        <v>11148.146744282369</v>
      </c>
      <c r="E772">
        <f t="shared" si="48"/>
        <v>-2.2316038376670733E-2</v>
      </c>
      <c r="F772" s="1">
        <f t="shared" si="49"/>
        <v>8.9936427370820748E-2</v>
      </c>
    </row>
    <row r="773" spans="1:6" x14ac:dyDescent="0.35">
      <c r="A773" s="2">
        <v>45376</v>
      </c>
      <c r="B773">
        <v>-1.0570059065564501E-3</v>
      </c>
      <c r="C773">
        <f t="shared" si="50"/>
        <v>10887.843581293186</v>
      </c>
      <c r="D773">
        <f t="shared" si="51"/>
        <v>11148.146744282369</v>
      </c>
      <c r="E773">
        <f t="shared" si="48"/>
        <v>-2.3349456098852195E-2</v>
      </c>
      <c r="F773" s="1">
        <f t="shared" si="49"/>
        <v>8.8784358129318619E-2</v>
      </c>
    </row>
    <row r="774" spans="1:6" x14ac:dyDescent="0.35">
      <c r="A774" s="2">
        <v>45377</v>
      </c>
      <c r="B774">
        <v>-1.0274009842506919E-3</v>
      </c>
      <c r="C774">
        <f t="shared" si="50"/>
        <v>10876.657400081398</v>
      </c>
      <c r="D774">
        <f t="shared" si="51"/>
        <v>11148.146744282369</v>
      </c>
      <c r="E774">
        <f t="shared" si="48"/>
        <v>-2.4352867828925095E-2</v>
      </c>
      <c r="F774" s="1">
        <f t="shared" si="49"/>
        <v>8.7665740008139759E-2</v>
      </c>
    </row>
    <row r="775" spans="1:6" x14ac:dyDescent="0.35">
      <c r="A775" s="2">
        <v>45378</v>
      </c>
      <c r="B775">
        <v>8.2880553062535424E-3</v>
      </c>
      <c r="C775">
        <f t="shared" si="50"/>
        <v>10966.803738160446</v>
      </c>
      <c r="D775">
        <f t="shared" si="51"/>
        <v>11148.146744282369</v>
      </c>
      <c r="E775">
        <f t="shared" si="48"/>
        <v>-1.6266650438103492E-2</v>
      </c>
      <c r="F775" s="1">
        <f t="shared" si="49"/>
        <v>9.6680373816044662E-2</v>
      </c>
    </row>
    <row r="776" spans="1:6" x14ac:dyDescent="0.35">
      <c r="A776" s="2">
        <v>45379</v>
      </c>
      <c r="B776">
        <v>2.4611908495849669E-3</v>
      </c>
      <c r="C776">
        <f t="shared" si="50"/>
        <v>10993.795135170003</v>
      </c>
      <c r="D776">
        <f t="shared" si="51"/>
        <v>11148.146744282369</v>
      </c>
      <c r="E776">
        <f t="shared" si="48"/>
        <v>-1.3845494919729973E-2</v>
      </c>
      <c r="F776" s="1">
        <f t="shared" si="49"/>
        <v>9.9379513517000362E-2</v>
      </c>
    </row>
    <row r="777" spans="1:6" x14ac:dyDescent="0.35">
      <c r="A777" s="2">
        <v>45383</v>
      </c>
      <c r="B777">
        <v>-4.558295513699016E-3</v>
      </c>
      <c r="C777">
        <f t="shared" si="50"/>
        <v>10943.682168126832</v>
      </c>
      <c r="D777">
        <f t="shared" si="51"/>
        <v>11148.146744282369</v>
      </c>
      <c r="E777">
        <f t="shared" si="48"/>
        <v>-1.8340678576051372E-2</v>
      </c>
      <c r="F777" s="1">
        <f t="shared" si="49"/>
        <v>9.4368216812683148E-2</v>
      </c>
    </row>
    <row r="778" spans="1:6" x14ac:dyDescent="0.35">
      <c r="A778" s="2">
        <v>45384</v>
      </c>
      <c r="B778">
        <v>-3.0661971079439078E-3</v>
      </c>
      <c r="C778">
        <f t="shared" si="50"/>
        <v>10910.126681512666</v>
      </c>
      <c r="D778">
        <f t="shared" si="51"/>
        <v>11148.146744282369</v>
      </c>
      <c r="E778">
        <f t="shared" si="48"/>
        <v>-2.1350639548387562E-2</v>
      </c>
      <c r="F778" s="1">
        <f t="shared" si="49"/>
        <v>9.1012668151266629E-2</v>
      </c>
    </row>
    <row r="779" spans="1:6" x14ac:dyDescent="0.35">
      <c r="A779" s="2">
        <v>45385</v>
      </c>
      <c r="B779">
        <v>3.371283173130517E-3</v>
      </c>
      <c r="C779">
        <f t="shared" si="50"/>
        <v>10946.907808010772</v>
      </c>
      <c r="D779">
        <f t="shared" si="51"/>
        <v>11148.146744282369</v>
      </c>
      <c r="E779">
        <f t="shared" si="48"/>
        <v>-1.8051335427102022E-2</v>
      </c>
      <c r="F779" s="1">
        <f t="shared" si="49"/>
        <v>9.469078080107729E-2</v>
      </c>
    </row>
    <row r="780" spans="1:6" x14ac:dyDescent="0.35">
      <c r="A780" s="2">
        <v>45386</v>
      </c>
      <c r="B780">
        <v>-4.0316157684446912E-3</v>
      </c>
      <c r="C780">
        <f t="shared" si="50"/>
        <v>10902.774081876285</v>
      </c>
      <c r="D780">
        <f t="shared" si="51"/>
        <v>11148.146744282369</v>
      </c>
      <c r="E780">
        <f t="shared" si="48"/>
        <v>-2.2010175146997435E-2</v>
      </c>
      <c r="F780" s="1">
        <f t="shared" si="49"/>
        <v>9.0277408187628527E-2</v>
      </c>
    </row>
    <row r="781" spans="1:6" x14ac:dyDescent="0.35">
      <c r="A781" s="2">
        <v>45387</v>
      </c>
      <c r="B781">
        <v>2.7047775729254998E-3</v>
      </c>
      <c r="C781">
        <f t="shared" si="50"/>
        <v>10932.263660695617</v>
      </c>
      <c r="D781">
        <f t="shared" si="51"/>
        <v>11148.146744282369</v>
      </c>
      <c r="E781">
        <f t="shared" si="48"/>
        <v>-1.9364930202185771E-2</v>
      </c>
      <c r="F781" s="1">
        <f t="shared" si="49"/>
        <v>9.3226366069561584E-2</v>
      </c>
    </row>
    <row r="782" spans="1:6" x14ac:dyDescent="0.35">
      <c r="A782" s="2">
        <v>45390</v>
      </c>
      <c r="B782">
        <v>2.8526751788122808E-3</v>
      </c>
      <c r="C782">
        <f t="shared" si="50"/>
        <v>10963.449857888714</v>
      </c>
      <c r="D782">
        <f t="shared" si="51"/>
        <v>11148.146744282369</v>
      </c>
      <c r="E782">
        <f t="shared" si="48"/>
        <v>-1.6567496879100641E-2</v>
      </c>
      <c r="F782" s="1">
        <f t="shared" si="49"/>
        <v>9.6344985788871407E-2</v>
      </c>
    </row>
    <row r="783" spans="1:6" x14ac:dyDescent="0.35">
      <c r="A783" s="2">
        <v>45391</v>
      </c>
      <c r="B783">
        <v>4.1045816576258248E-3</v>
      </c>
      <c r="C783">
        <f t="shared" si="50"/>
        <v>11008.450233079704</v>
      </c>
      <c r="D783">
        <f t="shared" si="51"/>
        <v>11148.146744282369</v>
      </c>
      <c r="E783">
        <f t="shared" si="48"/>
        <v>-1.2530917865277602E-2</v>
      </c>
      <c r="F783" s="1">
        <f t="shared" si="49"/>
        <v>0.10084502330797029</v>
      </c>
    </row>
    <row r="784" spans="1:6" x14ac:dyDescent="0.35">
      <c r="A784" s="2">
        <v>45392</v>
      </c>
      <c r="B784">
        <v>-1.466072052173369E-2</v>
      </c>
      <c r="C784">
        <f t="shared" si="50"/>
        <v>10847.058420835108</v>
      </c>
      <c r="D784">
        <f t="shared" si="51"/>
        <v>11148.146744282369</v>
      </c>
      <c r="E784">
        <f t="shared" si="48"/>
        <v>-2.7007926102307733E-2</v>
      </c>
      <c r="F784" s="1">
        <f t="shared" si="49"/>
        <v>8.470584208351073E-2</v>
      </c>
    </row>
    <row r="785" spans="1:6" x14ac:dyDescent="0.35">
      <c r="A785" s="2">
        <v>45393</v>
      </c>
      <c r="B785">
        <v>4.2689546667120833E-3</v>
      </c>
      <c r="C785">
        <f t="shared" si="50"/>
        <v>10893.364021500831</v>
      </c>
      <c r="D785">
        <f t="shared" si="51"/>
        <v>11148.146744282369</v>
      </c>
      <c r="E785">
        <f t="shared" si="48"/>
        <v>-2.2854267047768273E-2</v>
      </c>
      <c r="F785" s="1">
        <f t="shared" si="49"/>
        <v>8.9336402150083094E-2</v>
      </c>
    </row>
    <row r="786" spans="1:6" x14ac:dyDescent="0.35">
      <c r="A786" s="2">
        <v>45394</v>
      </c>
      <c r="B786">
        <v>-8.2684359477602741E-3</v>
      </c>
      <c r="C786">
        <f t="shared" si="50"/>
        <v>10803.292938833414</v>
      </c>
      <c r="D786">
        <f t="shared" si="51"/>
        <v>11148.146744282369</v>
      </c>
      <c r="E786">
        <f t="shared" si="48"/>
        <v>-3.0933733952311138E-2</v>
      </c>
      <c r="F786" s="1">
        <f t="shared" si="49"/>
        <v>8.0329293883341313E-2</v>
      </c>
    </row>
    <row r="787" spans="1:6" x14ac:dyDescent="0.35">
      <c r="A787" s="2">
        <v>45397</v>
      </c>
      <c r="B787">
        <v>-7.3946517996537004E-3</v>
      </c>
      <c r="C787">
        <f t="shared" si="50"/>
        <v>10723.406349261084</v>
      </c>
      <c r="D787">
        <f t="shared" si="51"/>
        <v>11148.146744282369</v>
      </c>
      <c r="E787">
        <f t="shared" si="48"/>
        <v>-3.8099641560524367E-2</v>
      </c>
      <c r="F787" s="1">
        <f t="shared" si="49"/>
        <v>7.2340634926108427E-2</v>
      </c>
    </row>
    <row r="788" spans="1:6" x14ac:dyDescent="0.35">
      <c r="A788" s="2">
        <v>45398</v>
      </c>
      <c r="B788">
        <v>-5.0134634388546819E-3</v>
      </c>
      <c r="C788">
        <f t="shared" si="50"/>
        <v>10669.644943589081</v>
      </c>
      <c r="D788">
        <f t="shared" si="51"/>
        <v>11148.146744282369</v>
      </c>
      <c r="E788">
        <f t="shared" si="48"/>
        <v>-4.2922093839381947E-2</v>
      </c>
      <c r="F788" s="1">
        <f t="shared" si="49"/>
        <v>6.6964494358908055E-2</v>
      </c>
    </row>
    <row r="789" spans="1:6" x14ac:dyDescent="0.35">
      <c r="A789" s="2">
        <v>45399</v>
      </c>
      <c r="B789">
        <v>-2.9047189166080999E-3</v>
      </c>
      <c r="C789">
        <f t="shared" si="50"/>
        <v>10638.652624087945</v>
      </c>
      <c r="D789">
        <f t="shared" si="51"/>
        <v>11148.146744282369</v>
      </c>
      <c r="E789">
        <f t="shared" si="48"/>
        <v>-4.570213613807439E-2</v>
      </c>
      <c r="F789" s="1">
        <f t="shared" si="49"/>
        <v>6.3865262408794532E-2</v>
      </c>
    </row>
    <row r="790" spans="1:6" x14ac:dyDescent="0.35">
      <c r="A790" s="2">
        <v>45400</v>
      </c>
      <c r="B790">
        <v>-1.1606889078493081E-3</v>
      </c>
      <c r="C790">
        <f t="shared" si="50"/>
        <v>10626.304457992705</v>
      </c>
      <c r="D790">
        <f t="shared" si="51"/>
        <v>11148.146744282369</v>
      </c>
      <c r="E790">
        <f t="shared" si="48"/>
        <v>-4.6809779083443193E-2</v>
      </c>
      <c r="F790" s="1">
        <f t="shared" si="49"/>
        <v>6.2630445799270351E-2</v>
      </c>
    </row>
    <row r="791" spans="1:6" x14ac:dyDescent="0.35">
      <c r="A791" s="2">
        <v>45401</v>
      </c>
      <c r="B791">
        <v>-9.1618001192736638E-4</v>
      </c>
      <c r="C791">
        <f t="shared" si="50"/>
        <v>10616.568850247637</v>
      </c>
      <c r="D791">
        <f t="shared" si="51"/>
        <v>11148.146744282369</v>
      </c>
      <c r="E791">
        <f t="shared" si="48"/>
        <v>-4.7683072911411606E-2</v>
      </c>
      <c r="F791" s="1">
        <f t="shared" si="49"/>
        <v>6.165688502476363E-2</v>
      </c>
    </row>
    <row r="792" spans="1:6" x14ac:dyDescent="0.35">
      <c r="A792" s="2">
        <v>45404</v>
      </c>
      <c r="B792">
        <v>3.6298865809092909E-3</v>
      </c>
      <c r="C792">
        <f t="shared" si="50"/>
        <v>10655.105791052451</v>
      </c>
      <c r="D792">
        <f t="shared" si="51"/>
        <v>11148.146744282369</v>
      </c>
      <c r="E792">
        <f t="shared" si="48"/>
        <v>-4.4226270476999896E-2</v>
      </c>
      <c r="F792" s="1">
        <f t="shared" si="49"/>
        <v>6.5510579105245048E-2</v>
      </c>
    </row>
    <row r="793" spans="1:6" x14ac:dyDescent="0.35">
      <c r="A793" s="2">
        <v>45405</v>
      </c>
      <c r="B793">
        <v>6.7534411307144417E-3</v>
      </c>
      <c r="C793">
        <f t="shared" si="50"/>
        <v>10727.064420753857</v>
      </c>
      <c r="D793">
        <f t="shared" si="51"/>
        <v>11148.146744282369</v>
      </c>
      <c r="E793">
        <f t="shared" si="48"/>
        <v>-3.7771508860383052E-2</v>
      </c>
      <c r="F793" s="1">
        <f t="shared" si="49"/>
        <v>7.2706442075385791E-2</v>
      </c>
    </row>
    <row r="794" spans="1:6" x14ac:dyDescent="0.35">
      <c r="A794" s="2">
        <v>45406</v>
      </c>
      <c r="B794">
        <v>-1.4612154920103501E-3</v>
      </c>
      <c r="C794">
        <f t="shared" si="50"/>
        <v>10711.389868038457</v>
      </c>
      <c r="D794">
        <f t="shared" si="51"/>
        <v>11148.146744282369</v>
      </c>
      <c r="E794">
        <f t="shared" si="48"/>
        <v>-3.9177532038490059E-2</v>
      </c>
      <c r="F794" s="1">
        <f t="shared" si="49"/>
        <v>7.1138986803845672E-2</v>
      </c>
    </row>
    <row r="795" spans="1:6" x14ac:dyDescent="0.35">
      <c r="A795" s="2">
        <v>45407</v>
      </c>
      <c r="B795">
        <v>-2.267357196277125E-3</v>
      </c>
      <c r="C795">
        <f t="shared" si="50"/>
        <v>10687.10332113903</v>
      </c>
      <c r="D795">
        <f t="shared" si="51"/>
        <v>11148.146744282369</v>
      </c>
      <c r="E795">
        <f t="shared" si="48"/>
        <v>-4.1356059775567444E-2</v>
      </c>
      <c r="F795" s="1">
        <f t="shared" si="49"/>
        <v>6.8710332113902872E-2</v>
      </c>
    </row>
    <row r="796" spans="1:6" x14ac:dyDescent="0.35">
      <c r="A796" s="2">
        <v>45408</v>
      </c>
      <c r="B796">
        <v>6.1306324997636328E-3</v>
      </c>
      <c r="C796">
        <f t="shared" si="50"/>
        <v>10752.622024087936</v>
      </c>
      <c r="D796">
        <f t="shared" si="51"/>
        <v>11148.146744282369</v>
      </c>
      <c r="E796">
        <f t="shared" si="48"/>
        <v>-3.5478966079926177E-2</v>
      </c>
      <c r="F796" s="1">
        <f t="shared" si="49"/>
        <v>7.5262202408793666E-2</v>
      </c>
    </row>
    <row r="797" spans="1:6" x14ac:dyDescent="0.35">
      <c r="A797" s="2">
        <v>45411</v>
      </c>
      <c r="B797">
        <v>4.6835357651545248E-3</v>
      </c>
      <c r="C797">
        <f t="shared" si="50"/>
        <v>10802.982313906939</v>
      </c>
      <c r="D797">
        <f t="shared" si="51"/>
        <v>11148.146744282369</v>
      </c>
      <c r="E797">
        <f t="shared" si="48"/>
        <v>-3.0961597321317647E-2</v>
      </c>
      <c r="F797" s="1">
        <f t="shared" si="49"/>
        <v>8.0298231390693919E-2</v>
      </c>
    </row>
    <row r="798" spans="1:6" x14ac:dyDescent="0.35">
      <c r="A798" s="2">
        <v>45412</v>
      </c>
      <c r="B798">
        <v>-1.309600660580316E-2</v>
      </c>
      <c r="C798">
        <f t="shared" si="50"/>
        <v>10661.50638616164</v>
      </c>
      <c r="D798">
        <f t="shared" si="51"/>
        <v>11148.146744282369</v>
      </c>
      <c r="E798">
        <f t="shared" si="48"/>
        <v>-4.3652130644074583E-2</v>
      </c>
      <c r="F798" s="1">
        <f t="shared" si="49"/>
        <v>6.6150638616164104E-2</v>
      </c>
    </row>
    <row r="799" spans="1:6" x14ac:dyDescent="0.35">
      <c r="A799" s="2">
        <v>45413</v>
      </c>
      <c r="B799">
        <v>5.0196958685069196E-4</v>
      </c>
      <c r="C799">
        <f t="shared" si="50"/>
        <v>10666.858138117508</v>
      </c>
      <c r="D799">
        <f t="shared" si="51"/>
        <v>11148.146744282369</v>
      </c>
      <c r="E799">
        <f t="shared" si="48"/>
        <v>-4.3172073099208452E-2</v>
      </c>
      <c r="F799" s="1">
        <f t="shared" si="49"/>
        <v>6.668581381175076E-2</v>
      </c>
    </row>
    <row r="800" spans="1:6" x14ac:dyDescent="0.35">
      <c r="A800" s="2">
        <v>45414</v>
      </c>
      <c r="B800">
        <v>9.6353638161731162E-3</v>
      </c>
      <c r="C800">
        <f t="shared" si="50"/>
        <v>10769.637197053777</v>
      </c>
      <c r="D800">
        <f t="shared" si="51"/>
        <v>11148.146744282369</v>
      </c>
      <c r="E800">
        <f t="shared" si="48"/>
        <v>-3.3952687914044599E-2</v>
      </c>
      <c r="F800" s="1">
        <f t="shared" si="49"/>
        <v>7.6963719705377631E-2</v>
      </c>
    </row>
    <row r="801" spans="1:6" x14ac:dyDescent="0.35">
      <c r="A801" s="2">
        <v>45415</v>
      </c>
      <c r="B801">
        <v>7.9528959839736246E-3</v>
      </c>
      <c r="C801">
        <f t="shared" si="50"/>
        <v>10855.287001467079</v>
      </c>
      <c r="D801">
        <f t="shared" si="51"/>
        <v>11148.146744282369</v>
      </c>
      <c r="E801">
        <f t="shared" si="48"/>
        <v>-2.6269814125427726E-2</v>
      </c>
      <c r="F801" s="1">
        <f t="shared" si="49"/>
        <v>8.5528700146707992E-2</v>
      </c>
    </row>
    <row r="802" spans="1:6" x14ac:dyDescent="0.35">
      <c r="A802" s="2">
        <v>45418</v>
      </c>
      <c r="B802">
        <v>6.1141373647035663E-3</v>
      </c>
      <c r="C802">
        <f t="shared" si="50"/>
        <v>10921.657717327329</v>
      </c>
      <c r="D802">
        <f t="shared" si="51"/>
        <v>11148.146744282369</v>
      </c>
      <c r="E802">
        <f t="shared" si="48"/>
        <v>-2.0316294012832303E-2</v>
      </c>
      <c r="F802" s="1">
        <f t="shared" si="49"/>
        <v>9.2165771732732882E-2</v>
      </c>
    </row>
    <row r="803" spans="1:6" x14ac:dyDescent="0.35">
      <c r="A803" s="2">
        <v>45419</v>
      </c>
      <c r="B803">
        <v>1.1504770311318499E-3</v>
      </c>
      <c r="C803">
        <f t="shared" si="50"/>
        <v>10934.222833672999</v>
      </c>
      <c r="D803">
        <f t="shared" si="51"/>
        <v>11148.146744282369</v>
      </c>
      <c r="E803">
        <f t="shared" si="48"/>
        <v>-1.9189190411319834E-2</v>
      </c>
      <c r="F803" s="1">
        <f t="shared" si="49"/>
        <v>9.3422283367299963E-2</v>
      </c>
    </row>
    <row r="804" spans="1:6" x14ac:dyDescent="0.35">
      <c r="A804" s="2">
        <v>45420</v>
      </c>
      <c r="B804">
        <v>-3.1165595579316671E-3</v>
      </c>
      <c r="C804">
        <f t="shared" si="50"/>
        <v>10900.145676992161</v>
      </c>
      <c r="D804">
        <f t="shared" si="51"/>
        <v>11148.146744282369</v>
      </c>
      <c r="E804">
        <f t="shared" si="48"/>
        <v>-2.2245945714466142E-2</v>
      </c>
      <c r="F804" s="1">
        <f t="shared" si="49"/>
        <v>9.0014567699216119E-2</v>
      </c>
    </row>
    <row r="805" spans="1:6" x14ac:dyDescent="0.35">
      <c r="A805" s="2">
        <v>45421</v>
      </c>
      <c r="B805">
        <v>6.5673558489352914E-3</v>
      </c>
      <c r="C805">
        <f t="shared" si="50"/>
        <v>10971.730812458201</v>
      </c>
      <c r="D805">
        <f t="shared" si="51"/>
        <v>11148.146744282369</v>
      </c>
      <c r="E805">
        <f t="shared" si="48"/>
        <v>-1.5824686907233931E-2</v>
      </c>
      <c r="F805" s="1">
        <f t="shared" si="49"/>
        <v>9.7173081245820248E-2</v>
      </c>
    </row>
    <row r="806" spans="1:6" x14ac:dyDescent="0.35">
      <c r="A806" s="2">
        <v>45422</v>
      </c>
      <c r="B806">
        <v>-8.2215781212304168E-4</v>
      </c>
      <c r="C806">
        <f t="shared" si="50"/>
        <v>10962.710318258229</v>
      </c>
      <c r="D806">
        <f t="shared" si="51"/>
        <v>11148.146744282369</v>
      </c>
      <c r="E806">
        <f t="shared" si="48"/>
        <v>-1.6633834329391695E-2</v>
      </c>
      <c r="F806" s="1">
        <f t="shared" si="49"/>
        <v>9.6271031825822861E-2</v>
      </c>
    </row>
    <row r="807" spans="1:6" x14ac:dyDescent="0.35">
      <c r="A807" s="2">
        <v>45425</v>
      </c>
      <c r="B807">
        <v>1.2026304671563829E-3</v>
      </c>
      <c r="C807">
        <f t="shared" si="50"/>
        <v>10975.894407689575</v>
      </c>
      <c r="D807">
        <f t="shared" si="51"/>
        <v>11148.146744282369</v>
      </c>
      <c r="E807">
        <f t="shared" si="48"/>
        <v>-1.5451208218185464E-2</v>
      </c>
      <c r="F807" s="1">
        <f t="shared" si="49"/>
        <v>9.7589440768957481E-2</v>
      </c>
    </row>
    <row r="808" spans="1:6" x14ac:dyDescent="0.35">
      <c r="A808" s="2">
        <v>45426</v>
      </c>
      <c r="B808">
        <v>4.9283926275902751E-3</v>
      </c>
      <c r="C808">
        <f t="shared" si="50"/>
        <v>11029.987924769641</v>
      </c>
      <c r="D808">
        <f t="shared" si="51"/>
        <v>11148.146744282369</v>
      </c>
      <c r="E808">
        <f t="shared" si="48"/>
        <v>-1.0598965211265132E-2</v>
      </c>
      <c r="F808" s="1">
        <f t="shared" si="49"/>
        <v>0.10299879247696397</v>
      </c>
    </row>
    <row r="809" spans="1:6" x14ac:dyDescent="0.35">
      <c r="A809" s="2">
        <v>45427</v>
      </c>
      <c r="B809">
        <v>1.0653412520992771E-2</v>
      </c>
      <c r="C809">
        <f t="shared" si="50"/>
        <v>11147.494936233781</v>
      </c>
      <c r="D809">
        <f t="shared" si="51"/>
        <v>11148.146744282369</v>
      </c>
      <c r="E809">
        <f t="shared" si="48"/>
        <v>-5.8467838963571772E-5</v>
      </c>
      <c r="F809" s="1">
        <f t="shared" si="49"/>
        <v>0.11474949362337816</v>
      </c>
    </row>
    <row r="810" spans="1:6" x14ac:dyDescent="0.35">
      <c r="A810" s="2">
        <v>45428</v>
      </c>
      <c r="B810">
        <v>-1.9541908594231079E-3</v>
      </c>
      <c r="C810">
        <f t="shared" si="50"/>
        <v>11125.710603523929</v>
      </c>
      <c r="D810">
        <f t="shared" si="51"/>
        <v>11148.146744282369</v>
      </c>
      <c r="E810">
        <f t="shared" si="48"/>
        <v>-2.0125444410701299E-3</v>
      </c>
      <c r="F810" s="1">
        <f t="shared" si="49"/>
        <v>0.11257106035239284</v>
      </c>
    </row>
    <row r="811" spans="1:6" x14ac:dyDescent="0.35">
      <c r="A811" s="2">
        <v>45429</v>
      </c>
      <c r="B811">
        <v>2.003031872440508E-3</v>
      </c>
      <c r="C811">
        <f t="shared" si="50"/>
        <v>11147.995756466336</v>
      </c>
      <c r="D811">
        <f t="shared" si="51"/>
        <v>11148.146744282369</v>
      </c>
      <c r="E811">
        <f t="shared" si="48"/>
        <v>-1.354375928985796E-5</v>
      </c>
      <c r="F811" s="1">
        <f t="shared" si="49"/>
        <v>0.11479957564663357</v>
      </c>
    </row>
    <row r="812" spans="1:6" x14ac:dyDescent="0.35">
      <c r="A812" s="2">
        <v>45432</v>
      </c>
      <c r="B812">
        <v>8.3342517454865011E-4</v>
      </c>
      <c r="C812">
        <f t="shared" si="50"/>
        <v>11157.286776775536</v>
      </c>
      <c r="D812">
        <f t="shared" si="51"/>
        <v>11157.286776775536</v>
      </c>
      <c r="E812">
        <f t="shared" si="48"/>
        <v>0</v>
      </c>
      <c r="F812" s="1">
        <f t="shared" si="49"/>
        <v>0.11572867767755368</v>
      </c>
    </row>
    <row r="813" spans="1:6" x14ac:dyDescent="0.35">
      <c r="A813" s="2">
        <v>45433</v>
      </c>
      <c r="B813">
        <v>-1.4093859930084149E-4</v>
      </c>
      <c r="C813">
        <f t="shared" si="50"/>
        <v>11155.71428440522</v>
      </c>
      <c r="D813">
        <f t="shared" si="51"/>
        <v>11157.286776775536</v>
      </c>
      <c r="E813">
        <f t="shared" si="48"/>
        <v>-1.4093859930086605E-4</v>
      </c>
      <c r="F813" s="1">
        <f t="shared" si="49"/>
        <v>0.11557142844052204</v>
      </c>
    </row>
    <row r="814" spans="1:6" x14ac:dyDescent="0.35">
      <c r="A814" s="2">
        <v>45434</v>
      </c>
      <c r="B814">
        <v>-5.8023248346922001E-3</v>
      </c>
      <c r="C814">
        <f t="shared" si="50"/>
        <v>11090.985206364085</v>
      </c>
      <c r="D814">
        <f t="shared" si="51"/>
        <v>11157.286776775536</v>
      </c>
      <c r="E814">
        <f t="shared" si="48"/>
        <v>-5.9424456624581623E-3</v>
      </c>
      <c r="F814" s="1">
        <f t="shared" si="49"/>
        <v>0.10909852063640857</v>
      </c>
    </row>
    <row r="815" spans="1:6" x14ac:dyDescent="0.35">
      <c r="A815" s="2">
        <v>45435</v>
      </c>
      <c r="B815">
        <v>-8.7620472450615581E-3</v>
      </c>
      <c r="C815">
        <f t="shared" si="50"/>
        <v>10993.805469991643</v>
      </c>
      <c r="D815">
        <f t="shared" si="51"/>
        <v>11157.286776775536</v>
      </c>
      <c r="E815">
        <f t="shared" si="48"/>
        <v>-1.4652424917874107E-2</v>
      </c>
      <c r="F815" s="1">
        <f t="shared" si="49"/>
        <v>9.938054699916421E-2</v>
      </c>
    </row>
    <row r="816" spans="1:6" x14ac:dyDescent="0.35">
      <c r="A816" s="2">
        <v>45436</v>
      </c>
      <c r="B816">
        <v>4.7627736007618332E-3</v>
      </c>
      <c r="C816">
        <f t="shared" si="50"/>
        <v>11046.16647645603</v>
      </c>
      <c r="D816">
        <f t="shared" si="51"/>
        <v>11157.286776775536</v>
      </c>
      <c r="E816">
        <f t="shared" si="48"/>
        <v>-9.9594374996982982E-3</v>
      </c>
      <c r="F816" s="1">
        <f t="shared" si="49"/>
        <v>0.10461664764560297</v>
      </c>
    </row>
    <row r="817" spans="1:6" x14ac:dyDescent="0.35">
      <c r="A817" s="2">
        <v>45440</v>
      </c>
      <c r="B817">
        <v>-5.6800982162225869E-4</v>
      </c>
      <c r="C817">
        <f t="shared" si="50"/>
        <v>11039.892145406127</v>
      </c>
      <c r="D817">
        <f t="shared" si="51"/>
        <v>11157.286776775536</v>
      </c>
      <c r="E817">
        <f t="shared" si="48"/>
        <v>-1.0521790263002928E-2</v>
      </c>
      <c r="F817" s="1">
        <f t="shared" si="49"/>
        <v>0.10398921454061272</v>
      </c>
    </row>
    <row r="818" spans="1:6" x14ac:dyDescent="0.35">
      <c r="A818" s="2">
        <v>45441</v>
      </c>
      <c r="B818">
        <v>-9.5255685232719326E-3</v>
      </c>
      <c r="C818">
        <f t="shared" si="50"/>
        <v>10934.73089628553</v>
      </c>
      <c r="D818">
        <f t="shared" si="51"/>
        <v>11157.286776775536</v>
      </c>
      <c r="E818">
        <f t="shared" si="48"/>
        <v>-1.994713275213722E-2</v>
      </c>
      <c r="F818" s="1">
        <f t="shared" si="49"/>
        <v>9.3473089628552941E-2</v>
      </c>
    </row>
    <row r="819" spans="1:6" x14ac:dyDescent="0.35">
      <c r="A819" s="2">
        <v>45442</v>
      </c>
      <c r="B819">
        <v>2.1706172634051168E-3</v>
      </c>
      <c r="C819">
        <f t="shared" si="50"/>
        <v>10958.466011939696</v>
      </c>
      <c r="D819">
        <f t="shared" si="51"/>
        <v>11157.286776775536</v>
      </c>
      <c r="E819">
        <f t="shared" si="48"/>
        <v>-1.7819813079439362E-2</v>
      </c>
      <c r="F819" s="1">
        <f t="shared" si="49"/>
        <v>9.5846601193969594E-2</v>
      </c>
    </row>
    <row r="820" spans="1:6" x14ac:dyDescent="0.35">
      <c r="A820" s="2">
        <v>45443</v>
      </c>
      <c r="B820">
        <v>3.589006445588475E-3</v>
      </c>
      <c r="C820">
        <f t="shared" si="50"/>
        <v>10997.796017090312</v>
      </c>
      <c r="D820">
        <f t="shared" si="51"/>
        <v>11157.286776775536</v>
      </c>
      <c r="E820">
        <f t="shared" si="48"/>
        <v>-1.4294762057851962E-2</v>
      </c>
      <c r="F820" s="1">
        <f t="shared" si="49"/>
        <v>9.9779601709031107E-2</v>
      </c>
    </row>
    <row r="821" spans="1:6" x14ac:dyDescent="0.35">
      <c r="A821" s="2">
        <v>45446</v>
      </c>
      <c r="B821">
        <v>3.2574763402303669E-3</v>
      </c>
      <c r="C821">
        <f t="shared" si="50"/>
        <v>11033.621077410664</v>
      </c>
      <c r="D821">
        <f t="shared" si="51"/>
        <v>11157.286776775536</v>
      </c>
      <c r="E821">
        <f t="shared" si="48"/>
        <v>-1.1083850566814157E-2</v>
      </c>
      <c r="F821" s="1">
        <f t="shared" si="49"/>
        <v>0.10336210774106647</v>
      </c>
    </row>
    <row r="822" spans="1:6" x14ac:dyDescent="0.35">
      <c r="A822" s="2">
        <v>45447</v>
      </c>
      <c r="B822">
        <v>-1.2491297580344419E-3</v>
      </c>
      <c r="C822">
        <f t="shared" si="50"/>
        <v>11019.838652983994</v>
      </c>
      <c r="D822">
        <f t="shared" si="51"/>
        <v>11157.286776775536</v>
      </c>
      <c r="E822">
        <f t="shared" si="48"/>
        <v>-1.2319135157272121E-2</v>
      </c>
      <c r="F822" s="1">
        <f t="shared" si="49"/>
        <v>0.10198386529839931</v>
      </c>
    </row>
    <row r="823" spans="1:6" x14ac:dyDescent="0.35">
      <c r="A823" s="2">
        <v>45448</v>
      </c>
      <c r="B823">
        <v>8.5149533487416246E-3</v>
      </c>
      <c r="C823">
        <f t="shared" si="50"/>
        <v>11113.672065024812</v>
      </c>
      <c r="D823">
        <f t="shared" si="51"/>
        <v>11157.286776775536</v>
      </c>
      <c r="E823">
        <f t="shared" si="48"/>
        <v>-3.9090786696914792E-3</v>
      </c>
      <c r="F823" s="1">
        <f t="shared" si="49"/>
        <v>0.11136720650248111</v>
      </c>
    </row>
    <row r="824" spans="1:6" x14ac:dyDescent="0.35">
      <c r="A824" s="2">
        <v>45449</v>
      </c>
      <c r="B824">
        <v>1.588577841423433E-3</v>
      </c>
      <c r="C824">
        <f t="shared" si="50"/>
        <v>11131.326998204158</v>
      </c>
      <c r="D824">
        <f t="shared" si="51"/>
        <v>11157.286776775536</v>
      </c>
      <c r="E824">
        <f t="shared" si="48"/>
        <v>-2.3267107040230162E-3</v>
      </c>
      <c r="F824" s="1">
        <f t="shared" si="49"/>
        <v>0.11313269982041585</v>
      </c>
    </row>
    <row r="825" spans="1:6" x14ac:dyDescent="0.35">
      <c r="A825" s="2">
        <v>45450</v>
      </c>
      <c r="B825">
        <v>-1.1319589099400821E-2</v>
      </c>
      <c r="C825">
        <f t="shared" si="50"/>
        <v>11005.324950453421</v>
      </c>
      <c r="D825">
        <f t="shared" si="51"/>
        <v>11157.286776775536</v>
      </c>
      <c r="E825">
        <f t="shared" si="48"/>
        <v>-1.3619962394300966E-2</v>
      </c>
      <c r="F825" s="1">
        <f t="shared" si="49"/>
        <v>0.10053249504534212</v>
      </c>
    </row>
    <row r="826" spans="1:6" x14ac:dyDescent="0.35">
      <c r="A826" s="2">
        <v>45453</v>
      </c>
      <c r="B826">
        <v>2.737015622027575E-3</v>
      </c>
      <c r="C826">
        <f t="shared" si="50"/>
        <v>11035.446696768304</v>
      </c>
      <c r="D826">
        <f t="shared" si="51"/>
        <v>11157.286776775536</v>
      </c>
      <c r="E826">
        <f t="shared" si="48"/>
        <v>-1.0920224822117963E-2</v>
      </c>
      <c r="F826" s="1">
        <f t="shared" si="49"/>
        <v>0.10354466967683029</v>
      </c>
    </row>
    <row r="827" spans="1:6" x14ac:dyDescent="0.35">
      <c r="A827" s="2">
        <v>45454</v>
      </c>
      <c r="B827">
        <v>8.6201303741461634E-4</v>
      </c>
      <c r="C827">
        <f t="shared" si="50"/>
        <v>11044.959395694612</v>
      </c>
      <c r="D827">
        <f t="shared" si="51"/>
        <v>11157.286776775536</v>
      </c>
      <c r="E827">
        <f t="shared" si="48"/>
        <v>-1.0067625160871452E-2</v>
      </c>
      <c r="F827" s="1">
        <f t="shared" si="49"/>
        <v>0.10449593956946113</v>
      </c>
    </row>
    <row r="828" spans="1:6" x14ac:dyDescent="0.35">
      <c r="A828" s="2">
        <v>45455</v>
      </c>
      <c r="B828">
        <v>8.0670198731589079E-3</v>
      </c>
      <c r="C828">
        <f t="shared" si="50"/>
        <v>11134.059302637914</v>
      </c>
      <c r="D828">
        <f t="shared" si="51"/>
        <v>11157.286776775536</v>
      </c>
      <c r="E828">
        <f t="shared" si="48"/>
        <v>-2.0818210199607945E-3</v>
      </c>
      <c r="F828" s="1">
        <f t="shared" si="49"/>
        <v>0.11340593026379131</v>
      </c>
    </row>
    <row r="829" spans="1:6" x14ac:dyDescent="0.35">
      <c r="A829" s="2">
        <v>45456</v>
      </c>
      <c r="B829">
        <v>3.9511273959356649E-4</v>
      </c>
      <c r="C829">
        <f t="shared" si="50"/>
        <v>11138.458511311777</v>
      </c>
      <c r="D829">
        <f t="shared" si="51"/>
        <v>11157.286776775536</v>
      </c>
      <c r="E829">
        <f t="shared" si="48"/>
        <v>-1.6875308343736739E-3</v>
      </c>
      <c r="F829" s="1">
        <f t="shared" si="49"/>
        <v>0.11384585113117773</v>
      </c>
    </row>
    <row r="830" spans="1:6" x14ac:dyDescent="0.35">
      <c r="A830" s="2">
        <v>45457</v>
      </c>
      <c r="B830">
        <v>-2.8681654007621651E-4</v>
      </c>
      <c r="C830">
        <f t="shared" si="50"/>
        <v>11135.263817179781</v>
      </c>
      <c r="D830">
        <f t="shared" si="51"/>
        <v>11157.286776775536</v>
      </c>
      <c r="E830">
        <f t="shared" si="48"/>
        <v>-1.9738633626946722E-3</v>
      </c>
      <c r="F830" s="1">
        <f t="shared" si="49"/>
        <v>0.11352638171797813</v>
      </c>
    </row>
    <row r="831" spans="1:6" x14ac:dyDescent="0.35">
      <c r="A831" s="2">
        <v>45460</v>
      </c>
      <c r="B831">
        <v>1.225188985326166E-3</v>
      </c>
      <c r="C831">
        <f t="shared" si="50"/>
        <v>11148.90661975729</v>
      </c>
      <c r="D831">
        <f t="shared" si="51"/>
        <v>11157.286776775536</v>
      </c>
      <c r="E831">
        <f t="shared" si="48"/>
        <v>-7.5109273301909862E-4</v>
      </c>
      <c r="F831" s="1">
        <f t="shared" si="49"/>
        <v>0.11489066197572906</v>
      </c>
    </row>
    <row r="832" spans="1:6" x14ac:dyDescent="0.35">
      <c r="A832" s="2">
        <v>45461</v>
      </c>
      <c r="B832">
        <v>4.5977601583012994E-3</v>
      </c>
      <c r="C832">
        <f t="shared" si="50"/>
        <v>11200.166618422232</v>
      </c>
      <c r="D832">
        <f t="shared" si="51"/>
        <v>11200.166618422232</v>
      </c>
      <c r="E832">
        <f t="shared" si="48"/>
        <v>0</v>
      </c>
      <c r="F832" s="1">
        <f t="shared" si="49"/>
        <v>0.12001666184222315</v>
      </c>
    </row>
    <row r="833" spans="1:6" x14ac:dyDescent="0.35">
      <c r="A833" s="2">
        <v>45463</v>
      </c>
      <c r="B833">
        <v>-1.420665347489966E-3</v>
      </c>
      <c r="C833">
        <f t="shared" si="50"/>
        <v>11184.254929821325</v>
      </c>
      <c r="D833">
        <f t="shared" si="51"/>
        <v>11200.166618422232</v>
      </c>
      <c r="E833">
        <f t="shared" si="48"/>
        <v>-1.4206653474899689E-3</v>
      </c>
      <c r="F833" s="1">
        <f t="shared" si="49"/>
        <v>0.11842549298213245</v>
      </c>
    </row>
    <row r="834" spans="1:6" x14ac:dyDescent="0.35">
      <c r="A834" s="2">
        <v>45464</v>
      </c>
      <c r="B834">
        <v>-2.6445236531888422E-3</v>
      </c>
      <c r="C834">
        <f t="shared" si="50"/>
        <v>11154.677903116119</v>
      </c>
      <c r="D834">
        <f t="shared" si="51"/>
        <v>11200.166618422232</v>
      </c>
      <c r="E834">
        <f t="shared" si="48"/>
        <v>-4.0614320175641483E-3</v>
      </c>
      <c r="F834" s="1">
        <f t="shared" si="49"/>
        <v>0.11546779031161192</v>
      </c>
    </row>
    <row r="835" spans="1:6" x14ac:dyDescent="0.35">
      <c r="A835" s="2">
        <v>45467</v>
      </c>
      <c r="B835">
        <v>1.8688026312153249E-3</v>
      </c>
      <c r="C835">
        <f t="shared" si="50"/>
        <v>11175.52379453182</v>
      </c>
      <c r="D835">
        <f t="shared" si="51"/>
        <v>11200.166618422232</v>
      </c>
      <c r="E835">
        <f t="shared" ref="E835:E898" si="52">(C835/D835)-1</f>
        <v>-2.2002194011898624E-3</v>
      </c>
      <c r="F835" s="1">
        <f t="shared" ref="F835:F898" si="53">C835/$C$2-1</f>
        <v>0.11755237945318209</v>
      </c>
    </row>
    <row r="836" spans="1:6" x14ac:dyDescent="0.35">
      <c r="A836" s="2">
        <v>45468</v>
      </c>
      <c r="B836">
        <v>-9.258630915963662E-4</v>
      </c>
      <c r="C836">
        <f t="shared" ref="C836:C899" si="54">C835*(1+B836)</f>
        <v>11165.176789521207</v>
      </c>
      <c r="D836">
        <f t="shared" ref="D836:D899" si="55">MAX(D835,C836)</f>
        <v>11200.166618422232</v>
      </c>
      <c r="E836">
        <f t="shared" si="52"/>
        <v>-3.1240453908492061E-3</v>
      </c>
      <c r="F836" s="1">
        <f t="shared" si="53"/>
        <v>0.11651767895212073</v>
      </c>
    </row>
    <row r="837" spans="1:6" x14ac:dyDescent="0.35">
      <c r="A837" s="2">
        <v>45469</v>
      </c>
      <c r="B837">
        <v>-3.9488835791946578E-3</v>
      </c>
      <c r="C837">
        <f t="shared" si="54"/>
        <v>11121.086806238261</v>
      </c>
      <c r="D837">
        <f t="shared" si="55"/>
        <v>11200.166618422232</v>
      </c>
      <c r="E837">
        <f t="shared" si="52"/>
        <v>-7.0605924784993279E-3</v>
      </c>
      <c r="F837" s="1">
        <f t="shared" si="53"/>
        <v>0.11210868062382606</v>
      </c>
    </row>
    <row r="838" spans="1:6" x14ac:dyDescent="0.35">
      <c r="A838" s="2">
        <v>45470</v>
      </c>
      <c r="B838">
        <v>4.2777457517605161E-3</v>
      </c>
      <c r="C838">
        <f t="shared" si="54"/>
        <v>11168.659988078607</v>
      </c>
      <c r="D838">
        <f t="shared" si="55"/>
        <v>11200.166618422232</v>
      </c>
      <c r="E838">
        <f t="shared" si="52"/>
        <v>-2.8130501462185764E-3</v>
      </c>
      <c r="F838" s="1">
        <f t="shared" si="53"/>
        <v>0.11686599880786064</v>
      </c>
    </row>
    <row r="839" spans="1:6" x14ac:dyDescent="0.35">
      <c r="A839" s="2">
        <v>45471</v>
      </c>
      <c r="B839">
        <v>-2.5811723943613171E-3</v>
      </c>
      <c r="C839">
        <f t="shared" si="54"/>
        <v>11139.831751235371</v>
      </c>
      <c r="D839">
        <f t="shared" si="55"/>
        <v>11200.166618422232</v>
      </c>
      <c r="E839">
        <f t="shared" si="52"/>
        <v>-5.3869615731985121E-3</v>
      </c>
      <c r="F839" s="1">
        <f t="shared" si="53"/>
        <v>0.11398317512353717</v>
      </c>
    </row>
    <row r="840" spans="1:6" x14ac:dyDescent="0.35">
      <c r="A840" s="2">
        <v>45474</v>
      </c>
      <c r="B840">
        <v>-1.755885020771583E-3</v>
      </c>
      <c r="C840">
        <f t="shared" si="54"/>
        <v>11120.271487529461</v>
      </c>
      <c r="D840">
        <f t="shared" si="55"/>
        <v>11200.166618422232</v>
      </c>
      <c r="E840">
        <f t="shared" si="52"/>
        <v>-7.133387708836314E-3</v>
      </c>
      <c r="F840" s="1">
        <f t="shared" si="53"/>
        <v>0.11202714875294606</v>
      </c>
    </row>
    <row r="841" spans="1:6" x14ac:dyDescent="0.35">
      <c r="A841" s="2">
        <v>45475</v>
      </c>
      <c r="B841">
        <v>4.396839842414119E-3</v>
      </c>
      <c r="C841">
        <f t="shared" si="54"/>
        <v>11169.165540264292</v>
      </c>
      <c r="D841">
        <f t="shared" si="55"/>
        <v>11200.166618422232</v>
      </c>
      <c r="E841">
        <f t="shared" si="52"/>
        <v>-2.7679122297117331E-3</v>
      </c>
      <c r="F841" s="1">
        <f t="shared" si="53"/>
        <v>0.1169165540264292</v>
      </c>
    </row>
    <row r="842" spans="1:6" x14ac:dyDescent="0.35">
      <c r="A842" s="2">
        <v>45476</v>
      </c>
      <c r="B842">
        <v>7.1036283664326844E-3</v>
      </c>
      <c r="C842">
        <f t="shared" si="54"/>
        <v>11248.507141425496</v>
      </c>
      <c r="D842">
        <f t="shared" si="55"/>
        <v>11248.507141425496</v>
      </c>
      <c r="E842">
        <f t="shared" si="52"/>
        <v>0</v>
      </c>
      <c r="F842" s="1">
        <f t="shared" si="53"/>
        <v>0.12485071414254967</v>
      </c>
    </row>
    <row r="843" spans="1:6" x14ac:dyDescent="0.35">
      <c r="A843" s="2">
        <v>45478</v>
      </c>
      <c r="B843">
        <v>5.3588170623234833E-3</v>
      </c>
      <c r="C843">
        <f t="shared" si="54"/>
        <v>11308.785833420636</v>
      </c>
      <c r="D843">
        <f t="shared" si="55"/>
        <v>11308.785833420636</v>
      </c>
      <c r="E843">
        <f t="shared" si="52"/>
        <v>0</v>
      </c>
      <c r="F843" s="1">
        <f t="shared" si="53"/>
        <v>0.13087858334206359</v>
      </c>
    </row>
    <row r="844" spans="1:6" x14ac:dyDescent="0.35">
      <c r="A844" s="2">
        <v>45481</v>
      </c>
      <c r="B844">
        <v>-1.2258714302737499E-3</v>
      </c>
      <c r="C844">
        <f t="shared" si="54"/>
        <v>11294.922715956362</v>
      </c>
      <c r="D844">
        <f t="shared" si="55"/>
        <v>11308.785833420636</v>
      </c>
      <c r="E844">
        <f t="shared" si="52"/>
        <v>-1.2258714302736395E-3</v>
      </c>
      <c r="F844" s="1">
        <f t="shared" si="53"/>
        <v>0.12949227159563614</v>
      </c>
    </row>
    <row r="845" spans="1:6" x14ac:dyDescent="0.35">
      <c r="A845" s="2">
        <v>45482</v>
      </c>
      <c r="B845">
        <v>-1.381709801924583E-3</v>
      </c>
      <c r="C845">
        <f t="shared" si="54"/>
        <v>11279.316410527745</v>
      </c>
      <c r="D845">
        <f t="shared" si="55"/>
        <v>11308.785833420636</v>
      </c>
      <c r="E845">
        <f t="shared" si="52"/>
        <v>-2.6058874336271076E-3</v>
      </c>
      <c r="F845" s="1">
        <f t="shared" si="53"/>
        <v>0.12793164105277444</v>
      </c>
    </row>
    <row r="846" spans="1:6" x14ac:dyDescent="0.35">
      <c r="A846" s="2">
        <v>45483</v>
      </c>
      <c r="B846">
        <v>5.8180259923082244E-3</v>
      </c>
      <c r="C846">
        <f t="shared" si="54"/>
        <v>11344.939766579664</v>
      </c>
      <c r="D846">
        <f t="shared" si="55"/>
        <v>11344.939766579664</v>
      </c>
      <c r="E846">
        <f t="shared" si="52"/>
        <v>0</v>
      </c>
      <c r="F846" s="1">
        <f t="shared" si="53"/>
        <v>0.13449397665796647</v>
      </c>
    </row>
    <row r="847" spans="1:6" x14ac:dyDescent="0.35">
      <c r="A847" s="2">
        <v>45484</v>
      </c>
      <c r="B847">
        <v>7.4214114686851317E-3</v>
      </c>
      <c r="C847">
        <f t="shared" si="54"/>
        <v>11429.135232674898</v>
      </c>
      <c r="D847">
        <f t="shared" si="55"/>
        <v>11429.135232674898</v>
      </c>
      <c r="E847">
        <f t="shared" si="52"/>
        <v>0</v>
      </c>
      <c r="F847" s="1">
        <f t="shared" si="53"/>
        <v>0.14291352326748985</v>
      </c>
    </row>
    <row r="848" spans="1:6" x14ac:dyDescent="0.35">
      <c r="A848" s="2">
        <v>45485</v>
      </c>
      <c r="B848">
        <v>4.5281144098858828E-3</v>
      </c>
      <c r="C848">
        <f t="shared" si="54"/>
        <v>11480.887664614507</v>
      </c>
      <c r="D848">
        <f t="shared" si="55"/>
        <v>11480.887664614507</v>
      </c>
      <c r="E848">
        <f t="shared" si="52"/>
        <v>0</v>
      </c>
      <c r="F848" s="1">
        <f t="shared" si="53"/>
        <v>0.14808876646145075</v>
      </c>
    </row>
    <row r="849" spans="1:6" x14ac:dyDescent="0.35">
      <c r="A849" s="2">
        <v>45488</v>
      </c>
      <c r="B849">
        <v>-1.0247143530848579E-3</v>
      </c>
      <c r="C849">
        <f t="shared" si="54"/>
        <v>11469.123034238422</v>
      </c>
      <c r="D849">
        <f t="shared" si="55"/>
        <v>11480.887664614507</v>
      </c>
      <c r="E849">
        <f t="shared" si="52"/>
        <v>-1.0247143530848213E-3</v>
      </c>
      <c r="F849" s="1">
        <f t="shared" si="53"/>
        <v>0.14691230342384221</v>
      </c>
    </row>
    <row r="850" spans="1:6" x14ac:dyDescent="0.35">
      <c r="A850" s="2">
        <v>45489</v>
      </c>
      <c r="B850">
        <v>9.0600983399669495E-3</v>
      </c>
      <c r="C850">
        <f t="shared" si="54"/>
        <v>11573.034416801802</v>
      </c>
      <c r="D850">
        <f t="shared" si="55"/>
        <v>11573.034416801802</v>
      </c>
      <c r="E850">
        <f t="shared" si="52"/>
        <v>0</v>
      </c>
      <c r="F850" s="1">
        <f t="shared" si="53"/>
        <v>0.15730344168018018</v>
      </c>
    </row>
    <row r="851" spans="1:6" x14ac:dyDescent="0.35">
      <c r="A851" s="2">
        <v>45490</v>
      </c>
      <c r="B851">
        <v>-6.0687596214284989E-3</v>
      </c>
      <c r="C851">
        <f t="shared" si="54"/>
        <v>11502.800452835712</v>
      </c>
      <c r="D851">
        <f t="shared" si="55"/>
        <v>11573.034416801802</v>
      </c>
      <c r="E851">
        <f t="shared" si="52"/>
        <v>-6.0687596214284989E-3</v>
      </c>
      <c r="F851" s="1">
        <f t="shared" si="53"/>
        <v>0.15028004528357131</v>
      </c>
    </row>
    <row r="852" spans="1:6" x14ac:dyDescent="0.35">
      <c r="A852" s="2">
        <v>45491</v>
      </c>
      <c r="B852">
        <v>-7.5383276314369826E-3</v>
      </c>
      <c r="C852">
        <f t="shared" si="54"/>
        <v>11416.088574343195</v>
      </c>
      <c r="D852">
        <f t="shared" si="55"/>
        <v>11573.034416801802</v>
      </c>
      <c r="E852">
        <f t="shared" si="52"/>
        <v>-1.3561338954522717E-2</v>
      </c>
      <c r="F852" s="1">
        <f t="shared" si="53"/>
        <v>0.1416088574343195</v>
      </c>
    </row>
    <row r="853" spans="1:6" x14ac:dyDescent="0.35">
      <c r="A853" s="2">
        <v>45492</v>
      </c>
      <c r="B853">
        <v>-6.9352849922545493E-3</v>
      </c>
      <c r="C853">
        <f t="shared" si="54"/>
        <v>11336.914746583303</v>
      </c>
      <c r="D853">
        <f t="shared" si="55"/>
        <v>11573.034416801802</v>
      </c>
      <c r="E853">
        <f t="shared" si="52"/>
        <v>-2.040257219625119E-2</v>
      </c>
      <c r="F853" s="1">
        <f t="shared" si="53"/>
        <v>0.1336914746583302</v>
      </c>
    </row>
    <row r="854" spans="1:6" x14ac:dyDescent="0.35">
      <c r="A854" s="2">
        <v>45495</v>
      </c>
      <c r="B854">
        <v>6.0620815525818236E-3</v>
      </c>
      <c r="C854">
        <f t="shared" si="54"/>
        <v>11405.640048331757</v>
      </c>
      <c r="D854">
        <f t="shared" si="55"/>
        <v>11573.034416801802</v>
      </c>
      <c r="E854">
        <f t="shared" si="52"/>
        <v>-1.4464172700205613E-2</v>
      </c>
      <c r="F854" s="1">
        <f t="shared" si="53"/>
        <v>0.14056400483317577</v>
      </c>
    </row>
    <row r="855" spans="1:6" x14ac:dyDescent="0.35">
      <c r="A855" s="2">
        <v>45496</v>
      </c>
      <c r="B855">
        <v>-1.391548573041375E-3</v>
      </c>
      <c r="C855">
        <f t="shared" si="54"/>
        <v>11389.768546197878</v>
      </c>
      <c r="D855">
        <f t="shared" si="55"/>
        <v>11573.034416801802</v>
      </c>
      <c r="E855">
        <f t="shared" si="52"/>
        <v>-1.5835593674365711E-2</v>
      </c>
      <c r="F855" s="1">
        <f t="shared" si="53"/>
        <v>0.13897685461978782</v>
      </c>
    </row>
    <row r="856" spans="1:6" x14ac:dyDescent="0.35">
      <c r="A856" s="2">
        <v>45497</v>
      </c>
      <c r="B856">
        <v>-1.23459042709542E-2</v>
      </c>
      <c r="C856">
        <f t="shared" si="54"/>
        <v>11249.151554058195</v>
      </c>
      <c r="D856">
        <f t="shared" si="55"/>
        <v>11573.034416801802</v>
      </c>
      <c r="E856">
        <f t="shared" si="52"/>
        <v>-2.7985993221742445E-2</v>
      </c>
      <c r="F856" s="1">
        <f t="shared" si="53"/>
        <v>0.12491515540581943</v>
      </c>
    </row>
    <row r="857" spans="1:6" x14ac:dyDescent="0.35">
      <c r="A857" s="2">
        <v>45498</v>
      </c>
      <c r="B857">
        <v>-1.356512778209516E-3</v>
      </c>
      <c r="C857">
        <f t="shared" si="54"/>
        <v>11233.891936231101</v>
      </c>
      <c r="D857">
        <f t="shared" si="55"/>
        <v>11573.034416801802</v>
      </c>
      <c r="E857">
        <f t="shared" si="52"/>
        <v>-2.930454264253568E-2</v>
      </c>
      <c r="F857" s="1">
        <f t="shared" si="53"/>
        <v>0.12338919362311018</v>
      </c>
    </row>
    <row r="858" spans="1:6" x14ac:dyDescent="0.35">
      <c r="A858" s="2">
        <v>45499</v>
      </c>
      <c r="B858">
        <v>8.3437531800369079E-3</v>
      </c>
      <c r="C858">
        <f t="shared" si="54"/>
        <v>11327.624757798221</v>
      </c>
      <c r="D858">
        <f t="shared" si="55"/>
        <v>11573.034416801802</v>
      </c>
      <c r="E858">
        <f t="shared" si="52"/>
        <v>-2.1205299333361793E-2</v>
      </c>
      <c r="F858" s="1">
        <f t="shared" si="53"/>
        <v>0.13276247577982203</v>
      </c>
    </row>
    <row r="859" spans="1:6" x14ac:dyDescent="0.35">
      <c r="A859" s="2">
        <v>45502</v>
      </c>
      <c r="B859">
        <v>-7.2520589860435849E-4</v>
      </c>
      <c r="C859">
        <f t="shared" si="54"/>
        <v>11319.40989750669</v>
      </c>
      <c r="D859">
        <f t="shared" si="55"/>
        <v>11573.034416801802</v>
      </c>
      <c r="E859">
        <f t="shared" si="52"/>
        <v>-2.1915127023807934E-2</v>
      </c>
      <c r="F859" s="1">
        <f t="shared" si="53"/>
        <v>0.13194098975066892</v>
      </c>
    </row>
    <row r="860" spans="1:6" x14ac:dyDescent="0.35">
      <c r="A860" s="2">
        <v>45503</v>
      </c>
      <c r="B860">
        <v>3.8803152471757489E-4</v>
      </c>
      <c r="C860">
        <f t="shared" si="54"/>
        <v>11323.802185388122</v>
      </c>
      <c r="D860">
        <f t="shared" si="55"/>
        <v>11573.034416801802</v>
      </c>
      <c r="E860">
        <f t="shared" si="52"/>
        <v>-2.1535599259243754E-2</v>
      </c>
      <c r="F860" s="1">
        <f t="shared" si="53"/>
        <v>0.1323802185388121</v>
      </c>
    </row>
    <row r="861" spans="1:6" x14ac:dyDescent="0.35">
      <c r="A861" s="2">
        <v>45504</v>
      </c>
      <c r="B861">
        <v>1.269081115285267E-2</v>
      </c>
      <c r="C861">
        <f t="shared" si="54"/>
        <v>11467.510420455144</v>
      </c>
      <c r="D861">
        <f t="shared" si="55"/>
        <v>11573.034416801802</v>
      </c>
      <c r="E861">
        <f t="shared" si="52"/>
        <v>-9.1180923296535488E-3</v>
      </c>
      <c r="F861" s="1">
        <f t="shared" si="53"/>
        <v>0.14675104204551448</v>
      </c>
    </row>
    <row r="862" spans="1:6" x14ac:dyDescent="0.35">
      <c r="A862" s="2">
        <v>45505</v>
      </c>
      <c r="B862">
        <v>-8.8485963854752006E-3</v>
      </c>
      <c r="C862">
        <f t="shared" si="54"/>
        <v>11366.039049198305</v>
      </c>
      <c r="D862">
        <f t="shared" si="55"/>
        <v>11573.034416801802</v>
      </c>
      <c r="E862">
        <f t="shared" si="52"/>
        <v>-1.7886006396298226E-2</v>
      </c>
      <c r="F862" s="1">
        <f t="shared" si="53"/>
        <v>0.13660390491983043</v>
      </c>
    </row>
    <row r="863" spans="1:6" x14ac:dyDescent="0.35">
      <c r="A863" s="2">
        <v>45506</v>
      </c>
      <c r="B863">
        <v>-6.2838700865318247E-3</v>
      </c>
      <c r="C863">
        <f t="shared" si="54"/>
        <v>11294.616336414694</v>
      </c>
      <c r="D863">
        <f t="shared" si="55"/>
        <v>11573.034416801802</v>
      </c>
      <c r="E863">
        <f t="shared" si="52"/>
        <v>-2.4057483142268965E-2</v>
      </c>
      <c r="F863" s="1">
        <f t="shared" si="53"/>
        <v>0.12946163364146934</v>
      </c>
    </row>
    <row r="864" spans="1:6" x14ac:dyDescent="0.35">
      <c r="A864" s="2">
        <v>45509</v>
      </c>
      <c r="B864">
        <v>-1.5566460915378911E-2</v>
      </c>
      <c r="C864">
        <f t="shared" si="54"/>
        <v>11118.799132659695</v>
      </c>
      <c r="D864">
        <f t="shared" si="55"/>
        <v>11573.034416801802</v>
      </c>
      <c r="E864">
        <f t="shared" si="52"/>
        <v>-3.9249454186591315E-2</v>
      </c>
      <c r="F864" s="1">
        <f t="shared" si="53"/>
        <v>0.11187991326596958</v>
      </c>
    </row>
    <row r="865" spans="1:6" x14ac:dyDescent="0.35">
      <c r="A865" s="2">
        <v>45510</v>
      </c>
      <c r="B865">
        <v>5.447602884683585E-4</v>
      </c>
      <c r="C865">
        <f t="shared" si="54"/>
        <v>11124.856212882623</v>
      </c>
      <c r="D865">
        <f t="shared" si="55"/>
        <v>11573.034416801802</v>
      </c>
      <c r="E865">
        <f t="shared" si="52"/>
        <v>-3.8726075442107932E-2</v>
      </c>
      <c r="F865" s="1">
        <f t="shared" si="53"/>
        <v>0.11248562128826234</v>
      </c>
    </row>
    <row r="866" spans="1:6" x14ac:dyDescent="0.35">
      <c r="A866" s="2">
        <v>45511</v>
      </c>
      <c r="B866">
        <v>-2.501807858835458E-3</v>
      </c>
      <c r="C866">
        <f t="shared" si="54"/>
        <v>11097.023960180819</v>
      </c>
      <c r="D866">
        <f t="shared" si="55"/>
        <v>11573.034416801802</v>
      </c>
      <c r="E866">
        <f t="shared" si="52"/>
        <v>-4.1130998101060467E-2</v>
      </c>
      <c r="F866" s="1">
        <f t="shared" si="53"/>
        <v>0.10970239601808185</v>
      </c>
    </row>
    <row r="867" spans="1:6" x14ac:dyDescent="0.35">
      <c r="A867" s="2">
        <v>45512</v>
      </c>
      <c r="B867">
        <v>1.2296773163616499E-2</v>
      </c>
      <c r="C867">
        <f t="shared" si="54"/>
        <v>11233.481546610381</v>
      </c>
      <c r="D867">
        <f t="shared" si="55"/>
        <v>11573.034416801802</v>
      </c>
      <c r="E867">
        <f t="shared" si="52"/>
        <v>-2.9340003491085787E-2</v>
      </c>
      <c r="F867" s="1">
        <f t="shared" si="53"/>
        <v>0.12334815466103799</v>
      </c>
    </row>
    <row r="868" spans="1:6" x14ac:dyDescent="0.35">
      <c r="A868" s="2">
        <v>45513</v>
      </c>
      <c r="B868">
        <v>4.0695217252790499E-3</v>
      </c>
      <c r="C868">
        <f t="shared" si="54"/>
        <v>11279.196443814833</v>
      </c>
      <c r="D868">
        <f t="shared" si="55"/>
        <v>11573.034416801802</v>
      </c>
      <c r="E868">
        <f t="shared" si="52"/>
        <v>-2.538988154743349E-2</v>
      </c>
      <c r="F868" s="1">
        <f t="shared" si="53"/>
        <v>0.1279196443814834</v>
      </c>
    </row>
    <row r="869" spans="1:6" x14ac:dyDescent="0.35">
      <c r="A869" s="2">
        <v>45516</v>
      </c>
      <c r="B869">
        <v>2.4173015603124169E-3</v>
      </c>
      <c r="C869">
        <f t="shared" si="54"/>
        <v>11306.461662977537</v>
      </c>
      <c r="D869">
        <f t="shared" si="55"/>
        <v>11573.034416801802</v>
      </c>
      <c r="E869">
        <f t="shared" si="52"/>
        <v>-2.3033954987401795E-2</v>
      </c>
      <c r="F869" s="1">
        <f t="shared" si="53"/>
        <v>0.13064616629775383</v>
      </c>
    </row>
    <row r="870" spans="1:6" x14ac:dyDescent="0.35">
      <c r="A870" s="2">
        <v>45517</v>
      </c>
      <c r="B870">
        <v>8.9116177625450585E-3</v>
      </c>
      <c r="C870">
        <f t="shared" si="54"/>
        <v>11407.220527564863</v>
      </c>
      <c r="D870">
        <f t="shared" si="55"/>
        <v>11573.034416801802</v>
      </c>
      <c r="E870">
        <f t="shared" si="52"/>
        <v>-1.43276070272641E-2</v>
      </c>
      <c r="F870" s="1">
        <f t="shared" si="53"/>
        <v>0.1407220527564863</v>
      </c>
    </row>
    <row r="871" spans="1:6" x14ac:dyDescent="0.35">
      <c r="A871" s="2">
        <v>45518</v>
      </c>
      <c r="B871">
        <v>-2.0063930275456649E-4</v>
      </c>
      <c r="C871">
        <f t="shared" si="54"/>
        <v>11404.931790791845</v>
      </c>
      <c r="D871">
        <f t="shared" si="55"/>
        <v>11573.034416801802</v>
      </c>
      <c r="E871">
        <f t="shared" si="52"/>
        <v>-1.4525371648934526E-2</v>
      </c>
      <c r="F871" s="1">
        <f t="shared" si="53"/>
        <v>0.14049317907918457</v>
      </c>
    </row>
    <row r="872" spans="1:6" x14ac:dyDescent="0.35">
      <c r="A872" s="2">
        <v>45519</v>
      </c>
      <c r="B872">
        <v>7.1311150274751926E-3</v>
      </c>
      <c r="C872">
        <f t="shared" si="54"/>
        <v>11486.261671272488</v>
      </c>
      <c r="D872">
        <f t="shared" si="55"/>
        <v>11573.034416801802</v>
      </c>
      <c r="E872">
        <f t="shared" si="52"/>
        <v>-7.4978387175048677E-3</v>
      </c>
      <c r="F872" s="1">
        <f t="shared" si="53"/>
        <v>0.14862616712724885</v>
      </c>
    </row>
    <row r="873" spans="1:6" x14ac:dyDescent="0.35">
      <c r="A873" s="2">
        <v>45520</v>
      </c>
      <c r="B873">
        <v>4.2104566685836663E-3</v>
      </c>
      <c r="C873">
        <f t="shared" si="54"/>
        <v>11534.624078323395</v>
      </c>
      <c r="D873">
        <f t="shared" si="55"/>
        <v>11573.034416801802</v>
      </c>
      <c r="E873">
        <f t="shared" si="52"/>
        <v>-3.3189513739493304E-3</v>
      </c>
      <c r="F873" s="1">
        <f t="shared" si="53"/>
        <v>0.15346240783233944</v>
      </c>
    </row>
    <row r="874" spans="1:6" x14ac:dyDescent="0.35">
      <c r="A874" s="2">
        <v>45523</v>
      </c>
      <c r="B874">
        <v>5.6689526872076663E-3</v>
      </c>
      <c r="C874">
        <f t="shared" si="54"/>
        <v>11600.013316488135</v>
      </c>
      <c r="D874">
        <f t="shared" si="55"/>
        <v>11600.013316488135</v>
      </c>
      <c r="E874">
        <f t="shared" si="52"/>
        <v>0</v>
      </c>
      <c r="F874" s="1">
        <f t="shared" si="53"/>
        <v>0.16000133164881358</v>
      </c>
    </row>
    <row r="875" spans="1:6" x14ac:dyDescent="0.35">
      <c r="A875" s="2">
        <v>45524</v>
      </c>
      <c r="B875">
        <v>-1.1768820994229E-3</v>
      </c>
      <c r="C875">
        <f t="shared" si="54"/>
        <v>11586.361468462894</v>
      </c>
      <c r="D875">
        <f t="shared" si="55"/>
        <v>11600.013316488135</v>
      </c>
      <c r="E875">
        <f t="shared" si="52"/>
        <v>-1.1768820994229046E-3</v>
      </c>
      <c r="F875" s="1">
        <f t="shared" si="53"/>
        <v>0.15863614684628935</v>
      </c>
    </row>
    <row r="876" spans="1:6" x14ac:dyDescent="0.35">
      <c r="A876" s="2">
        <v>45525</v>
      </c>
      <c r="B876">
        <v>3.3712671521003751E-3</v>
      </c>
      <c r="C876">
        <f t="shared" si="54"/>
        <v>11625.422188293885</v>
      </c>
      <c r="D876">
        <f t="shared" si="55"/>
        <v>11625.422188293885</v>
      </c>
      <c r="E876">
        <f t="shared" si="52"/>
        <v>0</v>
      </c>
      <c r="F876" s="1">
        <f t="shared" si="53"/>
        <v>0.16254221882938857</v>
      </c>
    </row>
    <row r="877" spans="1:6" x14ac:dyDescent="0.35">
      <c r="A877" s="2">
        <v>45526</v>
      </c>
      <c r="B877">
        <v>-6.7188257059802251E-3</v>
      </c>
      <c r="C877">
        <f t="shared" si="54"/>
        <v>11547.313002852303</v>
      </c>
      <c r="D877">
        <f t="shared" si="55"/>
        <v>11625.422188293885</v>
      </c>
      <c r="E877">
        <f t="shared" si="52"/>
        <v>-6.7188257059802581E-3</v>
      </c>
      <c r="F877" s="1">
        <f t="shared" si="53"/>
        <v>0.15473130028523019</v>
      </c>
    </row>
    <row r="878" spans="1:6" x14ac:dyDescent="0.35">
      <c r="A878" s="2">
        <v>45527</v>
      </c>
      <c r="B878">
        <v>1.3502743207841761E-2</v>
      </c>
      <c r="C878">
        <f t="shared" si="54"/>
        <v>11703.23340507039</v>
      </c>
      <c r="D878">
        <f t="shared" si="55"/>
        <v>11703.23340507039</v>
      </c>
      <c r="E878">
        <f t="shared" si="52"/>
        <v>0</v>
      </c>
      <c r="F878" s="1">
        <f t="shared" si="53"/>
        <v>0.17032334050703901</v>
      </c>
    </row>
    <row r="879" spans="1:6" x14ac:dyDescent="0.35">
      <c r="A879" s="2">
        <v>45530</v>
      </c>
      <c r="B879">
        <v>-1.551111509346283E-3</v>
      </c>
      <c r="C879">
        <f t="shared" si="54"/>
        <v>11685.08038503922</v>
      </c>
      <c r="D879">
        <f t="shared" si="55"/>
        <v>11703.23340507039</v>
      </c>
      <c r="E879">
        <f t="shared" si="52"/>
        <v>-1.5511115093462813E-3</v>
      </c>
      <c r="F879" s="1">
        <f t="shared" si="53"/>
        <v>0.16850803850392193</v>
      </c>
    </row>
    <row r="880" spans="1:6" x14ac:dyDescent="0.35">
      <c r="A880" s="2">
        <v>45531</v>
      </c>
      <c r="B880">
        <v>-3.5651623527499972E-5</v>
      </c>
      <c r="C880">
        <f t="shared" si="54"/>
        <v>11684.663792952444</v>
      </c>
      <c r="D880">
        <f t="shared" si="55"/>
        <v>11703.23340507039</v>
      </c>
      <c r="E880">
        <f t="shared" si="52"/>
        <v>-1.5867078332302276E-3</v>
      </c>
      <c r="F880" s="1">
        <f t="shared" si="53"/>
        <v>0.16846637929524433</v>
      </c>
    </row>
    <row r="881" spans="1:6" x14ac:dyDescent="0.35">
      <c r="A881" s="2">
        <v>45532</v>
      </c>
      <c r="B881">
        <v>-5.0757981088830244E-3</v>
      </c>
      <c r="C881">
        <f t="shared" si="54"/>
        <v>11625.354798569242</v>
      </c>
      <c r="D881">
        <f t="shared" si="55"/>
        <v>11703.23340507039</v>
      </c>
      <c r="E881">
        <f t="shared" si="52"/>
        <v>-6.6544521334939155E-3</v>
      </c>
      <c r="F881" s="1">
        <f t="shared" si="53"/>
        <v>0.16253547985692429</v>
      </c>
    </row>
    <row r="882" spans="1:6" x14ac:dyDescent="0.35">
      <c r="A882" s="2">
        <v>45533</v>
      </c>
      <c r="B882">
        <v>1.474267174717118E-3</v>
      </c>
      <c r="C882">
        <f t="shared" si="54"/>
        <v>11642.493677543214</v>
      </c>
      <c r="D882">
        <f t="shared" si="55"/>
        <v>11703.23340507039</v>
      </c>
      <c r="E882">
        <f t="shared" si="52"/>
        <v>-5.1899953991227932E-3</v>
      </c>
      <c r="F882" s="1">
        <f t="shared" si="53"/>
        <v>0.16424936775432153</v>
      </c>
    </row>
    <row r="883" spans="1:6" x14ac:dyDescent="0.35">
      <c r="A883" s="2">
        <v>45534</v>
      </c>
      <c r="B883">
        <v>4.5510648070611672E-4</v>
      </c>
      <c r="C883">
        <f t="shared" si="54"/>
        <v>11647.792251867444</v>
      </c>
      <c r="D883">
        <f t="shared" si="55"/>
        <v>11703.23340507039</v>
      </c>
      <c r="E883">
        <f t="shared" si="52"/>
        <v>-4.7372509189577139E-3</v>
      </c>
      <c r="F883" s="1">
        <f t="shared" si="53"/>
        <v>0.16477922518674437</v>
      </c>
    </row>
    <row r="884" spans="1:6" x14ac:dyDescent="0.35">
      <c r="A884" s="2">
        <v>45538</v>
      </c>
      <c r="B884">
        <v>-9.9550866699105161E-3</v>
      </c>
      <c r="C884">
        <f t="shared" si="54"/>
        <v>11531.837470486991</v>
      </c>
      <c r="D884">
        <f t="shared" si="55"/>
        <v>11703.23340507039</v>
      </c>
      <c r="E884">
        <f t="shared" si="52"/>
        <v>-1.4645177845392876E-2</v>
      </c>
      <c r="F884" s="1">
        <f t="shared" si="53"/>
        <v>0.15318374704869919</v>
      </c>
    </row>
    <row r="885" spans="1:6" x14ac:dyDescent="0.35">
      <c r="A885" s="2">
        <v>45539</v>
      </c>
      <c r="B885">
        <v>1.14367633188975E-3</v>
      </c>
      <c r="C885">
        <f t="shared" si="54"/>
        <v>11545.026160065187</v>
      </c>
      <c r="D885">
        <f t="shared" si="55"/>
        <v>11703.23340507039</v>
      </c>
      <c r="E885">
        <f t="shared" si="52"/>
        <v>-1.3518250856781266E-2</v>
      </c>
      <c r="F885" s="1">
        <f t="shared" si="53"/>
        <v>0.1545026160065186</v>
      </c>
    </row>
    <row r="886" spans="1:6" x14ac:dyDescent="0.35">
      <c r="A886" s="2">
        <v>45540</v>
      </c>
      <c r="B886">
        <v>1.5773441916568001E-3</v>
      </c>
      <c r="C886">
        <f t="shared" si="54"/>
        <v>11563.236640021292</v>
      </c>
      <c r="D886">
        <f t="shared" si="55"/>
        <v>11703.23340507039</v>
      </c>
      <c r="E886">
        <f t="shared" si="52"/>
        <v>-1.1962229599594698E-2</v>
      </c>
      <c r="F886" s="1">
        <f t="shared" si="53"/>
        <v>0.15632366400212927</v>
      </c>
    </row>
    <row r="887" spans="1:6" x14ac:dyDescent="0.35">
      <c r="A887" s="2">
        <v>45541</v>
      </c>
      <c r="B887">
        <v>-1.016288444349458E-2</v>
      </c>
      <c r="C887">
        <f t="shared" si="54"/>
        <v>11445.720802255973</v>
      </c>
      <c r="D887">
        <f t="shared" si="55"/>
        <v>11703.23340507039</v>
      </c>
      <c r="E887">
        <f t="shared" si="52"/>
        <v>-2.2003543285981975E-2</v>
      </c>
      <c r="F887" s="1">
        <f t="shared" si="53"/>
        <v>0.14457208022559742</v>
      </c>
    </row>
    <row r="888" spans="1:6" x14ac:dyDescent="0.35">
      <c r="A888" s="2">
        <v>45544</v>
      </c>
      <c r="B888">
        <v>6.1506032130958666E-3</v>
      </c>
      <c r="C888">
        <f t="shared" si="54"/>
        <v>11516.118889398527</v>
      </c>
      <c r="D888">
        <f t="shared" si="55"/>
        <v>11703.23340507039</v>
      </c>
      <c r="E888">
        <f t="shared" si="52"/>
        <v>-1.598827513692036E-2</v>
      </c>
      <c r="F888" s="1">
        <f t="shared" si="53"/>
        <v>0.15161188893985278</v>
      </c>
    </row>
    <row r="889" spans="1:6" x14ac:dyDescent="0.35">
      <c r="A889" s="2">
        <v>45545</v>
      </c>
      <c r="B889">
        <v>1.7080794226482501E-3</v>
      </c>
      <c r="C889">
        <f t="shared" si="54"/>
        <v>11535.789335102279</v>
      </c>
      <c r="D889">
        <f t="shared" si="55"/>
        <v>11703.23340507039</v>
      </c>
      <c r="E889">
        <f t="shared" si="52"/>
        <v>-1.4307504958037121E-2</v>
      </c>
      <c r="F889" s="1">
        <f t="shared" si="53"/>
        <v>0.153578933510228</v>
      </c>
    </row>
    <row r="890" spans="1:6" x14ac:dyDescent="0.35">
      <c r="A890" s="2">
        <v>45546</v>
      </c>
      <c r="B890">
        <v>4.5189777208399576E-3</v>
      </c>
      <c r="C890">
        <f t="shared" si="54"/>
        <v>11587.919310099909</v>
      </c>
      <c r="D890">
        <f t="shared" si="55"/>
        <v>11703.23340507039</v>
      </c>
      <c r="E890">
        <f t="shared" si="52"/>
        <v>-9.8531825333434409E-3</v>
      </c>
      <c r="F890" s="1">
        <f t="shared" si="53"/>
        <v>0.15879193100999101</v>
      </c>
    </row>
    <row r="891" spans="1:6" x14ac:dyDescent="0.35">
      <c r="A891" s="2">
        <v>45547</v>
      </c>
      <c r="B891">
        <v>6.9231849420135581E-3</v>
      </c>
      <c r="C891">
        <f t="shared" si="54"/>
        <v>11668.14461857686</v>
      </c>
      <c r="D891">
        <f t="shared" si="55"/>
        <v>11703.23340507039</v>
      </c>
      <c r="E891">
        <f t="shared" si="52"/>
        <v>-2.9982129962756732E-3</v>
      </c>
      <c r="F891" s="1">
        <f t="shared" si="53"/>
        <v>0.16681446185768589</v>
      </c>
    </row>
    <row r="892" spans="1:6" x14ac:dyDescent="0.35">
      <c r="A892" s="2">
        <v>45548</v>
      </c>
      <c r="B892">
        <v>6.1778133365337088E-3</v>
      </c>
      <c r="C892">
        <f t="shared" si="54"/>
        <v>11740.22823801411</v>
      </c>
      <c r="D892">
        <f t="shared" si="55"/>
        <v>11740.22823801411</v>
      </c>
      <c r="E892">
        <f t="shared" si="52"/>
        <v>0</v>
      </c>
      <c r="F892" s="1">
        <f t="shared" si="53"/>
        <v>0.17402282380141099</v>
      </c>
    </row>
    <row r="893" spans="1:6" x14ac:dyDescent="0.35">
      <c r="A893" s="2">
        <v>45551</v>
      </c>
      <c r="B893">
        <v>3.4490804649972878E-3</v>
      </c>
      <c r="C893">
        <f t="shared" si="54"/>
        <v>11780.721229884455</v>
      </c>
      <c r="D893">
        <f t="shared" si="55"/>
        <v>11780.721229884455</v>
      </c>
      <c r="E893">
        <f t="shared" si="52"/>
        <v>0</v>
      </c>
      <c r="F893" s="1">
        <f t="shared" si="53"/>
        <v>0.17807212298844544</v>
      </c>
    </row>
    <row r="894" spans="1:6" x14ac:dyDescent="0.35">
      <c r="A894" s="2">
        <v>45552</v>
      </c>
      <c r="B894">
        <v>-5.9718613884796295E-4</v>
      </c>
      <c r="C894">
        <f t="shared" si="54"/>
        <v>11773.685946460337</v>
      </c>
      <c r="D894">
        <f t="shared" si="55"/>
        <v>11780.721229884455</v>
      </c>
      <c r="E894">
        <f t="shared" si="52"/>
        <v>-5.9718613884796046E-4</v>
      </c>
      <c r="F894" s="1">
        <f t="shared" si="53"/>
        <v>0.17736859464603372</v>
      </c>
    </row>
    <row r="895" spans="1:6" x14ac:dyDescent="0.35">
      <c r="A895" s="2">
        <v>45553</v>
      </c>
      <c r="B895">
        <v>-4.0901802392975736E-3</v>
      </c>
      <c r="C895">
        <f t="shared" si="54"/>
        <v>11725.52944885843</v>
      </c>
      <c r="D895">
        <f t="shared" si="55"/>
        <v>11780.721229884455</v>
      </c>
      <c r="E895">
        <f t="shared" si="52"/>
        <v>-4.6849237792011555E-3</v>
      </c>
      <c r="F895" s="1">
        <f t="shared" si="53"/>
        <v>0.17255294488584294</v>
      </c>
    </row>
    <row r="896" spans="1:6" x14ac:dyDescent="0.35">
      <c r="A896" s="2">
        <v>45554</v>
      </c>
      <c r="B896">
        <v>1.1442106436325469E-2</v>
      </c>
      <c r="C896">
        <f t="shared" si="54"/>
        <v>11859.694204834537</v>
      </c>
      <c r="D896">
        <f t="shared" si="55"/>
        <v>11859.694204834537</v>
      </c>
      <c r="E896">
        <f t="shared" si="52"/>
        <v>0</v>
      </c>
      <c r="F896" s="1">
        <f t="shared" si="53"/>
        <v>0.18596942048345366</v>
      </c>
    </row>
    <row r="897" spans="1:6" x14ac:dyDescent="0.35">
      <c r="A897" s="2">
        <v>45555</v>
      </c>
      <c r="B897">
        <v>-1.6282647376234249E-3</v>
      </c>
      <c r="C897">
        <f t="shared" si="54"/>
        <v>11840.383482961808</v>
      </c>
      <c r="D897">
        <f t="shared" si="55"/>
        <v>11859.694204834537</v>
      </c>
      <c r="E897">
        <f t="shared" si="52"/>
        <v>-1.6282647376234527E-3</v>
      </c>
      <c r="F897" s="1">
        <f t="shared" si="53"/>
        <v>0.18403834829618071</v>
      </c>
    </row>
    <row r="898" spans="1:6" x14ac:dyDescent="0.35">
      <c r="A898" s="2">
        <v>45558</v>
      </c>
      <c r="B898">
        <v>1.6117884955645001E-3</v>
      </c>
      <c r="C898">
        <f t="shared" si="54"/>
        <v>11859.467676842716</v>
      </c>
      <c r="D898">
        <f t="shared" si="55"/>
        <v>11859.694204834537</v>
      </c>
      <c r="E898">
        <f t="shared" si="52"/>
        <v>-1.9100660430870775E-5</v>
      </c>
      <c r="F898" s="1">
        <f t="shared" si="53"/>
        <v>0.18594676768427165</v>
      </c>
    </row>
    <row r="899" spans="1:6" x14ac:dyDescent="0.35">
      <c r="A899" s="2">
        <v>45559</v>
      </c>
      <c r="B899">
        <v>7.0093011982978251E-3</v>
      </c>
      <c r="C899">
        <f t="shared" si="54"/>
        <v>11942.594257841185</v>
      </c>
      <c r="D899">
        <f t="shared" si="55"/>
        <v>11942.594257841185</v>
      </c>
      <c r="E899">
        <f t="shared" ref="E899:E962" si="56">(C899/D899)-1</f>
        <v>0</v>
      </c>
      <c r="F899" s="1">
        <f t="shared" ref="F899:F962" si="57">C899/$C$2-1</f>
        <v>0.19425942578411859</v>
      </c>
    </row>
    <row r="900" spans="1:6" x14ac:dyDescent="0.35">
      <c r="A900" s="2">
        <v>45560</v>
      </c>
      <c r="B900">
        <v>-5.4416346672274754E-3</v>
      </c>
      <c r="C900">
        <f t="shared" ref="C900:C963" si="58">C899*(1+B900)</f>
        <v>11877.607022911085</v>
      </c>
      <c r="D900">
        <f t="shared" ref="D900:D963" si="59">MAX(D899,C900)</f>
        <v>11942.594257841185</v>
      </c>
      <c r="E900">
        <f t="shared" si="56"/>
        <v>-5.4416346672274685E-3</v>
      </c>
      <c r="F900" s="1">
        <f t="shared" si="57"/>
        <v>0.18776070229110853</v>
      </c>
    </row>
    <row r="901" spans="1:6" x14ac:dyDescent="0.35">
      <c r="A901" s="2">
        <v>45561</v>
      </c>
      <c r="B901">
        <v>5.4857012530284419E-3</v>
      </c>
      <c r="C901">
        <f t="shared" si="58"/>
        <v>11942.764026639648</v>
      </c>
      <c r="D901">
        <f t="shared" si="59"/>
        <v>11942.764026639648</v>
      </c>
      <c r="E901">
        <f t="shared" si="56"/>
        <v>0</v>
      </c>
      <c r="F901" s="1">
        <f t="shared" si="57"/>
        <v>0.19427640266396473</v>
      </c>
    </row>
    <row r="902" spans="1:6" x14ac:dyDescent="0.35">
      <c r="A902" s="2">
        <v>45562</v>
      </c>
      <c r="B902">
        <v>4.7855480810369991E-4</v>
      </c>
      <c r="C902">
        <f t="shared" si="58"/>
        <v>11948.479293786644</v>
      </c>
      <c r="D902">
        <f t="shared" si="59"/>
        <v>11948.479293786644</v>
      </c>
      <c r="E902">
        <f t="shared" si="56"/>
        <v>0</v>
      </c>
      <c r="F902" s="1">
        <f t="shared" si="57"/>
        <v>0.19484792937866446</v>
      </c>
    </row>
    <row r="903" spans="1:6" x14ac:dyDescent="0.35">
      <c r="A903" s="2">
        <v>45565</v>
      </c>
      <c r="B903">
        <v>-1.9494795855194251E-3</v>
      </c>
      <c r="C903">
        <f t="shared" si="58"/>
        <v>11925.185977325405</v>
      </c>
      <c r="D903">
        <f t="shared" si="59"/>
        <v>11948.479293786644</v>
      </c>
      <c r="E903">
        <f t="shared" si="56"/>
        <v>-1.9494795855193869E-3</v>
      </c>
      <c r="F903" s="1">
        <f t="shared" si="57"/>
        <v>0.19251859773254054</v>
      </c>
    </row>
    <row r="904" spans="1:6" x14ac:dyDescent="0.35">
      <c r="A904" s="2">
        <v>45566</v>
      </c>
      <c r="B904">
        <v>8.890122324414166E-7</v>
      </c>
      <c r="C904">
        <f t="shared" si="58"/>
        <v>11925.196578961613</v>
      </c>
      <c r="D904">
        <f t="shared" si="59"/>
        <v>11948.479293786644</v>
      </c>
      <c r="E904">
        <f t="shared" si="56"/>
        <v>-1.9485923063982113E-3</v>
      </c>
      <c r="F904" s="1">
        <f t="shared" si="57"/>
        <v>0.19251965789616143</v>
      </c>
    </row>
    <row r="905" spans="1:6" x14ac:dyDescent="0.35">
      <c r="A905" s="2">
        <v>45567</v>
      </c>
      <c r="B905">
        <v>8.185759911335834E-4</v>
      </c>
      <c r="C905">
        <f t="shared" si="58"/>
        <v>11934.958258570701</v>
      </c>
      <c r="D905">
        <f t="shared" si="59"/>
        <v>11948.479293786644</v>
      </c>
      <c r="E905">
        <f t="shared" si="56"/>
        <v>-1.1316113861430388E-3</v>
      </c>
      <c r="F905" s="1">
        <f t="shared" si="57"/>
        <v>0.19349582585707004</v>
      </c>
    </row>
    <row r="906" spans="1:6" x14ac:dyDescent="0.35">
      <c r="A906" s="2">
        <v>45568</v>
      </c>
      <c r="B906">
        <v>-4.1013845289737828E-3</v>
      </c>
      <c r="C906">
        <f t="shared" si="58"/>
        <v>11886.008405415052</v>
      </c>
      <c r="D906">
        <f t="shared" si="59"/>
        <v>11948.479293786644</v>
      </c>
      <c r="E906">
        <f t="shared" si="56"/>
        <v>-5.2283547416848153E-3</v>
      </c>
      <c r="F906" s="1">
        <f t="shared" si="57"/>
        <v>0.18860084054150517</v>
      </c>
    </row>
    <row r="907" spans="1:6" x14ac:dyDescent="0.35">
      <c r="A907" s="2">
        <v>45569</v>
      </c>
      <c r="B907">
        <v>1.4420510350963581E-3</v>
      </c>
      <c r="C907">
        <f t="shared" si="58"/>
        <v>11903.148636139244</v>
      </c>
      <c r="D907">
        <f t="shared" si="59"/>
        <v>11948.479293786644</v>
      </c>
      <c r="E907">
        <f t="shared" si="56"/>
        <v>-3.7938432609556649E-3</v>
      </c>
      <c r="F907" s="1">
        <f t="shared" si="57"/>
        <v>0.19031486361392425</v>
      </c>
    </row>
    <row r="908" spans="1:6" x14ac:dyDescent="0.35">
      <c r="A908" s="2">
        <v>45572</v>
      </c>
      <c r="B908">
        <v>-3.6555320384085489E-3</v>
      </c>
      <c r="C908">
        <f t="shared" si="58"/>
        <v>11859.636294941898</v>
      </c>
      <c r="D908">
        <f t="shared" si="59"/>
        <v>11948.479293786644</v>
      </c>
      <c r="E908">
        <f t="shared" si="56"/>
        <v>-7.4355067837750255E-3</v>
      </c>
      <c r="F908" s="1">
        <f t="shared" si="57"/>
        <v>0.18596362949418976</v>
      </c>
    </row>
    <row r="909" spans="1:6" x14ac:dyDescent="0.35">
      <c r="A909" s="2">
        <v>45573</v>
      </c>
      <c r="B909">
        <v>-1.9172517548398499E-3</v>
      </c>
      <c r="C909">
        <f t="shared" si="58"/>
        <v>11836.89838644366</v>
      </c>
      <c r="D909">
        <f t="shared" si="59"/>
        <v>11948.479293786644</v>
      </c>
      <c r="E909">
        <f t="shared" si="56"/>
        <v>-9.3385028001854442E-3</v>
      </c>
      <c r="F909" s="1">
        <f t="shared" si="57"/>
        <v>0.18368983864436594</v>
      </c>
    </row>
    <row r="910" spans="1:6" x14ac:dyDescent="0.35">
      <c r="A910" s="2">
        <v>45574</v>
      </c>
      <c r="B910">
        <v>-1.1068552372118579E-3</v>
      </c>
      <c r="C910">
        <f t="shared" si="58"/>
        <v>11823.79665347228</v>
      </c>
      <c r="D910">
        <f t="shared" si="59"/>
        <v>11948.479293786644</v>
      </c>
      <c r="E910">
        <f t="shared" si="56"/>
        <v>-1.0435021666665212E-2</v>
      </c>
      <c r="F910" s="1">
        <f t="shared" si="57"/>
        <v>0.18237966534722805</v>
      </c>
    </row>
    <row r="911" spans="1:6" x14ac:dyDescent="0.35">
      <c r="A911" s="2">
        <v>45575</v>
      </c>
      <c r="B911">
        <v>4.0715325196440019E-4</v>
      </c>
      <c r="C911">
        <f t="shared" si="58"/>
        <v>11828.610750730308</v>
      </c>
      <c r="D911">
        <f t="shared" si="59"/>
        <v>11948.479293786644</v>
      </c>
      <c r="E911">
        <f t="shared" si="56"/>
        <v>-1.0032117067706681E-2</v>
      </c>
      <c r="F911" s="1">
        <f t="shared" si="57"/>
        <v>0.18286107507303084</v>
      </c>
    </row>
    <row r="912" spans="1:6" x14ac:dyDescent="0.35">
      <c r="A912" s="2">
        <v>45576</v>
      </c>
      <c r="B912">
        <v>5.1674761880753416E-3</v>
      </c>
      <c r="C912">
        <f t="shared" si="58"/>
        <v>11889.734815122718</v>
      </c>
      <c r="D912">
        <f t="shared" si="59"/>
        <v>11948.479293786644</v>
      </c>
      <c r="E912">
        <f t="shared" si="56"/>
        <v>-4.9164816056946892E-3</v>
      </c>
      <c r="F912" s="1">
        <f t="shared" si="57"/>
        <v>0.18897348151227189</v>
      </c>
    </row>
    <row r="913" spans="1:6" x14ac:dyDescent="0.35">
      <c r="A913" s="2">
        <v>45579</v>
      </c>
      <c r="B913">
        <v>9.3677949393125006E-4</v>
      </c>
      <c r="C913">
        <f t="shared" si="58"/>
        <v>11900.872874885805</v>
      </c>
      <c r="D913">
        <f t="shared" si="59"/>
        <v>11948.479293786644</v>
      </c>
      <c r="E913">
        <f t="shared" si="56"/>
        <v>-3.984307770913964E-3</v>
      </c>
      <c r="F913" s="1">
        <f t="shared" si="57"/>
        <v>0.19008728748858039</v>
      </c>
    </row>
    <row r="914" spans="1:6" x14ac:dyDescent="0.35">
      <c r="A914" s="2">
        <v>45580</v>
      </c>
      <c r="B914">
        <v>-3.326739096519826E-3</v>
      </c>
      <c r="C914">
        <f t="shared" si="58"/>
        <v>11861.28177581021</v>
      </c>
      <c r="D914">
        <f t="shared" si="59"/>
        <v>11948.479293786644</v>
      </c>
      <c r="E914">
        <f t="shared" si="56"/>
        <v>-7.2977921149997016E-3</v>
      </c>
      <c r="F914" s="1">
        <f t="shared" si="57"/>
        <v>0.18612817758102107</v>
      </c>
    </row>
    <row r="915" spans="1:6" x14ac:dyDescent="0.35">
      <c r="A915" s="2">
        <v>45581</v>
      </c>
      <c r="B915">
        <v>4.6038352250949502E-3</v>
      </c>
      <c r="C915">
        <f t="shared" si="58"/>
        <v>11915.889162664462</v>
      </c>
      <c r="D915">
        <f t="shared" si="59"/>
        <v>11948.479293786644</v>
      </c>
      <c r="E915">
        <f t="shared" si="56"/>
        <v>-2.7275547223092333E-3</v>
      </c>
      <c r="F915" s="1">
        <f t="shared" si="57"/>
        <v>0.19158891626644614</v>
      </c>
    </row>
    <row r="916" spans="1:6" x14ac:dyDescent="0.35">
      <c r="A916" s="2">
        <v>45582</v>
      </c>
      <c r="B916">
        <v>-2.8254127416833582E-3</v>
      </c>
      <c r="C916">
        <f t="shared" si="58"/>
        <v>11882.221857595783</v>
      </c>
      <c r="D916">
        <f t="shared" si="59"/>
        <v>11948.479293786644</v>
      </c>
      <c r="E916">
        <f t="shared" si="56"/>
        <v>-5.5452609961265109E-3</v>
      </c>
      <c r="F916" s="1">
        <f t="shared" si="57"/>
        <v>0.18822218575957828</v>
      </c>
    </row>
    <row r="917" spans="1:6" x14ac:dyDescent="0.35">
      <c r="A917" s="2">
        <v>45583</v>
      </c>
      <c r="B917">
        <v>3.3997629995353999E-3</v>
      </c>
      <c r="C917">
        <f t="shared" si="58"/>
        <v>11922.618595819509</v>
      </c>
      <c r="D917">
        <f t="shared" si="59"/>
        <v>11948.479293786644</v>
      </c>
      <c r="E917">
        <f t="shared" si="56"/>
        <v>-2.1643505697485077E-3</v>
      </c>
      <c r="F917" s="1">
        <f t="shared" si="57"/>
        <v>0.19226185958195097</v>
      </c>
    </row>
    <row r="918" spans="1:6" x14ac:dyDescent="0.35">
      <c r="A918" s="2">
        <v>45586</v>
      </c>
      <c r="B918">
        <v>-7.5257771939570162E-3</v>
      </c>
      <c r="C918">
        <f t="shared" si="58"/>
        <v>11832.891624698843</v>
      </c>
      <c r="D918">
        <f t="shared" si="59"/>
        <v>11948.479293786644</v>
      </c>
      <c r="E918">
        <f t="shared" si="56"/>
        <v>-9.6738393435479297E-3</v>
      </c>
      <c r="F918" s="1">
        <f t="shared" si="57"/>
        <v>0.18328916246988425</v>
      </c>
    </row>
    <row r="919" spans="1:6" x14ac:dyDescent="0.35">
      <c r="A919" s="2">
        <v>45587</v>
      </c>
      <c r="B919">
        <v>1.4267199314956531E-3</v>
      </c>
      <c r="C919">
        <f t="shared" si="58"/>
        <v>11849.773847027029</v>
      </c>
      <c r="D919">
        <f t="shared" si="59"/>
        <v>11948.479293786644</v>
      </c>
      <c r="E919">
        <f t="shared" si="56"/>
        <v>-8.2609212714578328E-3</v>
      </c>
      <c r="F919" s="1">
        <f t="shared" si="57"/>
        <v>0.18497738470270297</v>
      </c>
    </row>
    <row r="920" spans="1:6" x14ac:dyDescent="0.35">
      <c r="A920" s="2">
        <v>45588</v>
      </c>
      <c r="B920">
        <v>-5.9541745003660078E-3</v>
      </c>
      <c r="C920">
        <f t="shared" si="58"/>
        <v>11779.218225751956</v>
      </c>
      <c r="D920">
        <f t="shared" si="59"/>
        <v>11948.479293786644</v>
      </c>
      <c r="E920">
        <f t="shared" si="56"/>
        <v>-1.4165908805039762E-2</v>
      </c>
      <c r="F920" s="1">
        <f t="shared" si="57"/>
        <v>0.17792182257519551</v>
      </c>
    </row>
    <row r="921" spans="1:6" x14ac:dyDescent="0.35">
      <c r="A921" s="2">
        <v>45589</v>
      </c>
      <c r="B921">
        <v>3.3781805749847171E-3</v>
      </c>
      <c r="C921">
        <f t="shared" si="58"/>
        <v>11819.010551950696</v>
      </c>
      <c r="D921">
        <f t="shared" si="59"/>
        <v>11948.479293786644</v>
      </c>
      <c r="E921">
        <f t="shared" si="56"/>
        <v>-1.0835583228007373E-2</v>
      </c>
      <c r="F921" s="1">
        <f t="shared" si="57"/>
        <v>0.18190105519506949</v>
      </c>
    </row>
    <row r="922" spans="1:6" x14ac:dyDescent="0.35">
      <c r="A922" s="2">
        <v>45590</v>
      </c>
      <c r="B922">
        <v>-1.1482856314232171E-3</v>
      </c>
      <c r="C922">
        <f t="shared" si="58"/>
        <v>11805.438951956252</v>
      </c>
      <c r="D922">
        <f t="shared" si="59"/>
        <v>11948.479293786644</v>
      </c>
      <c r="E922">
        <f t="shared" si="56"/>
        <v>-1.1971426514901795E-2</v>
      </c>
      <c r="F922" s="1">
        <f t="shared" si="57"/>
        <v>0.18054389519562508</v>
      </c>
    </row>
    <row r="923" spans="1:6" x14ac:dyDescent="0.35">
      <c r="A923" s="2">
        <v>45593</v>
      </c>
      <c r="B923">
        <v>4.2543383952961398E-4</v>
      </c>
      <c r="C923">
        <f t="shared" si="58"/>
        <v>11810.461385176914</v>
      </c>
      <c r="D923">
        <f t="shared" si="59"/>
        <v>11948.479293786644</v>
      </c>
      <c r="E923">
        <f t="shared" si="56"/>
        <v>-1.1551085725319155E-2</v>
      </c>
      <c r="F923" s="1">
        <f t="shared" si="57"/>
        <v>0.18104613851769136</v>
      </c>
    </row>
    <row r="924" spans="1:6" x14ac:dyDescent="0.35">
      <c r="A924" s="2">
        <v>45594</v>
      </c>
      <c r="B924">
        <v>5.4966568215522496E-4</v>
      </c>
      <c r="C924">
        <f t="shared" si="58"/>
        <v>11816.953190490765</v>
      </c>
      <c r="D924">
        <f t="shared" si="59"/>
        <v>11948.479293786644</v>
      </c>
      <c r="E924">
        <f t="shared" si="56"/>
        <v>-1.1007769278578716E-2</v>
      </c>
      <c r="F924" s="1">
        <f t="shared" si="57"/>
        <v>0.18169531904907643</v>
      </c>
    </row>
    <row r="925" spans="1:6" x14ac:dyDescent="0.35">
      <c r="A925" s="2">
        <v>45595</v>
      </c>
      <c r="B925">
        <v>-5.9963262878948338E-4</v>
      </c>
      <c r="C925">
        <f t="shared" si="58"/>
        <v>11809.867359784868</v>
      </c>
      <c r="D925">
        <f t="shared" si="59"/>
        <v>11948.479293786644</v>
      </c>
      <c r="E925">
        <f t="shared" si="56"/>
        <v>-1.1600801289738616E-2</v>
      </c>
      <c r="F925" s="1">
        <f t="shared" si="57"/>
        <v>0.18098673597848691</v>
      </c>
    </row>
    <row r="926" spans="1:6" x14ac:dyDescent="0.35">
      <c r="A926" s="2">
        <v>45596</v>
      </c>
      <c r="B926">
        <v>-8.6258010871102086E-3</v>
      </c>
      <c r="C926">
        <f t="shared" si="58"/>
        <v>11707.997793074208</v>
      </c>
      <c r="D926">
        <f t="shared" si="59"/>
        <v>11948.479293786644</v>
      </c>
      <c r="E926">
        <f t="shared" si="56"/>
        <v>-2.0126536172472509E-2</v>
      </c>
      <c r="F926" s="1">
        <f t="shared" si="57"/>
        <v>0.17079977930742074</v>
      </c>
    </row>
    <row r="927" spans="1:6" x14ac:dyDescent="0.35">
      <c r="A927" s="2">
        <v>45597</v>
      </c>
      <c r="B927">
        <v>-2.5888847791605391E-3</v>
      </c>
      <c r="C927">
        <f t="shared" si="58"/>
        <v>11677.687135793272</v>
      </c>
      <c r="D927">
        <f t="shared" si="59"/>
        <v>11948.479293786644</v>
      </c>
      <c r="E927">
        <f t="shared" si="56"/>
        <v>-2.2663315668479012E-2</v>
      </c>
      <c r="F927" s="1">
        <f t="shared" si="57"/>
        <v>0.16776871357932732</v>
      </c>
    </row>
    <row r="928" spans="1:6" x14ac:dyDescent="0.35">
      <c r="A928" s="2">
        <v>45600</v>
      </c>
      <c r="B928">
        <v>5.5683068575766914E-3</v>
      </c>
      <c r="C928">
        <f t="shared" si="58"/>
        <v>11742.712081152145</v>
      </c>
      <c r="D928">
        <f t="shared" si="59"/>
        <v>11948.479293786644</v>
      </c>
      <c r="E928">
        <f t="shared" si="56"/>
        <v>-1.7221205106954462E-2</v>
      </c>
      <c r="F928" s="1">
        <f t="shared" si="57"/>
        <v>0.17427120811521446</v>
      </c>
    </row>
    <row r="929" spans="1:6" x14ac:dyDescent="0.35">
      <c r="A929" s="2">
        <v>45601</v>
      </c>
      <c r="B929">
        <v>8.5282443483405985E-3</v>
      </c>
      <c r="C929">
        <f t="shared" si="58"/>
        <v>11842.856799092422</v>
      </c>
      <c r="D929">
        <f t="shared" si="59"/>
        <v>11948.479293786644</v>
      </c>
      <c r="E929">
        <f t="shared" si="56"/>
        <v>-8.839827403738898E-3</v>
      </c>
      <c r="F929" s="1">
        <f t="shared" si="57"/>
        <v>0.18428567990924227</v>
      </c>
    </row>
    <row r="930" spans="1:6" x14ac:dyDescent="0.35">
      <c r="A930" s="2">
        <v>45602</v>
      </c>
      <c r="B930">
        <v>-2.1492207856969761E-3</v>
      </c>
      <c r="C930">
        <f t="shared" si="58"/>
        <v>11817.403885097779</v>
      </c>
      <c r="D930">
        <f t="shared" si="59"/>
        <v>11948.479293786644</v>
      </c>
      <c r="E930">
        <f t="shared" si="56"/>
        <v>-1.0970049448637775E-2</v>
      </c>
      <c r="F930" s="1">
        <f t="shared" si="57"/>
        <v>0.18174038850977792</v>
      </c>
    </row>
    <row r="931" spans="1:6" x14ac:dyDescent="0.35">
      <c r="A931" s="2">
        <v>45603</v>
      </c>
      <c r="B931">
        <v>1.101205966967697E-2</v>
      </c>
      <c r="C931">
        <f t="shared" si="58"/>
        <v>11947.537841821149</v>
      </c>
      <c r="D931">
        <f t="shared" si="59"/>
        <v>11948.479293786644</v>
      </c>
      <c r="E931">
        <f t="shared" si="56"/>
        <v>-7.8792618068534992E-5</v>
      </c>
      <c r="F931" s="1">
        <f t="shared" si="57"/>
        <v>0.19475378418211498</v>
      </c>
    </row>
    <row r="932" spans="1:6" x14ac:dyDescent="0.35">
      <c r="A932" s="2">
        <v>45604</v>
      </c>
      <c r="B932">
        <v>-1.07331230058145E-3</v>
      </c>
      <c r="C932">
        <f t="shared" si="58"/>
        <v>11934.714402493861</v>
      </c>
      <c r="D932">
        <f t="shared" si="59"/>
        <v>11948.479293786644</v>
      </c>
      <c r="E932">
        <f t="shared" si="56"/>
        <v>-1.1520203495637427E-3</v>
      </c>
      <c r="F932" s="1">
        <f t="shared" si="57"/>
        <v>0.19347144024938601</v>
      </c>
    </row>
    <row r="933" spans="1:6" x14ac:dyDescent="0.35">
      <c r="A933" s="2">
        <v>45607</v>
      </c>
      <c r="B933">
        <v>-3.9250352744268496E-3</v>
      </c>
      <c r="C933">
        <f t="shared" si="58"/>
        <v>11887.870227473861</v>
      </c>
      <c r="D933">
        <f t="shared" si="59"/>
        <v>11948.479293786644</v>
      </c>
      <c r="E933">
        <f t="shared" si="56"/>
        <v>-5.0725339034818351E-3</v>
      </c>
      <c r="F933" s="1">
        <f t="shared" si="57"/>
        <v>0.18878702274738601</v>
      </c>
    </row>
    <row r="934" spans="1:6" x14ac:dyDescent="0.35">
      <c r="A934" s="2">
        <v>45608</v>
      </c>
      <c r="B934">
        <v>-1.0182359628778221E-2</v>
      </c>
      <c r="C934">
        <f t="shared" si="58"/>
        <v>11766.823657597477</v>
      </c>
      <c r="D934">
        <f t="shared" si="59"/>
        <v>11948.479293786644</v>
      </c>
      <c r="E934">
        <f t="shared" si="56"/>
        <v>-1.520324316782562E-2</v>
      </c>
      <c r="F934" s="1">
        <f t="shared" si="57"/>
        <v>0.17668236575974761</v>
      </c>
    </row>
    <row r="935" spans="1:6" x14ac:dyDescent="0.35">
      <c r="A935" s="2">
        <v>45609</v>
      </c>
      <c r="B935">
        <v>-3.7034375287808329E-3</v>
      </c>
      <c r="C935">
        <f t="shared" si="58"/>
        <v>11723.245961269384</v>
      </c>
      <c r="D935">
        <f t="shared" si="59"/>
        <v>11948.479293786644</v>
      </c>
      <c r="E935">
        <f t="shared" si="56"/>
        <v>-1.8850376435299521E-2</v>
      </c>
      <c r="F935" s="1">
        <f t="shared" si="57"/>
        <v>0.1723245961269384</v>
      </c>
    </row>
    <row r="936" spans="1:6" x14ac:dyDescent="0.35">
      <c r="A936" s="2">
        <v>45610</v>
      </c>
      <c r="B936">
        <v>-3.2990427659862001E-3</v>
      </c>
      <c r="C936">
        <f t="shared" si="58"/>
        <v>11684.570471486981</v>
      </c>
      <c r="D936">
        <f t="shared" si="59"/>
        <v>11948.479293786644</v>
      </c>
      <c r="E936">
        <f t="shared" si="56"/>
        <v>-2.2087231003270813E-2</v>
      </c>
      <c r="F936" s="1">
        <f t="shared" si="57"/>
        <v>0.16845704714869814</v>
      </c>
    </row>
    <row r="937" spans="1:6" x14ac:dyDescent="0.35">
      <c r="A937" s="2">
        <v>45611</v>
      </c>
      <c r="B937">
        <v>-5.2763813205596406E-3</v>
      </c>
      <c r="C937">
        <f t="shared" si="58"/>
        <v>11622.918222112465</v>
      </c>
      <c r="D937">
        <f t="shared" si="59"/>
        <v>11948.479293786644</v>
      </c>
      <c r="E937">
        <f t="shared" si="56"/>
        <v>-2.7247071670741807E-2</v>
      </c>
      <c r="F937" s="1">
        <f t="shared" si="57"/>
        <v>0.16229182221124638</v>
      </c>
    </row>
    <row r="938" spans="1:6" x14ac:dyDescent="0.35">
      <c r="A938" s="2">
        <v>45614</v>
      </c>
      <c r="B938">
        <v>7.2350367384294081E-3</v>
      </c>
      <c r="C938">
        <f t="shared" si="58"/>
        <v>11707.01046245721</v>
      </c>
      <c r="D938">
        <f t="shared" si="59"/>
        <v>11948.479293786644</v>
      </c>
      <c r="E938">
        <f t="shared" si="56"/>
        <v>-2.0209168496864716E-2</v>
      </c>
      <c r="F938" s="1">
        <f t="shared" si="57"/>
        <v>0.17070104624572102</v>
      </c>
    </row>
    <row r="939" spans="1:6" x14ac:dyDescent="0.35">
      <c r="A939" s="2">
        <v>45615</v>
      </c>
      <c r="B939">
        <v>3.6510657953940581E-3</v>
      </c>
      <c r="C939">
        <f t="shared" si="58"/>
        <v>11749.753527923009</v>
      </c>
      <c r="D939">
        <f t="shared" si="59"/>
        <v>11948.479293786644</v>
      </c>
      <c r="E939">
        <f t="shared" si="56"/>
        <v>-1.6631887705322868E-2</v>
      </c>
      <c r="F939" s="1">
        <f t="shared" si="57"/>
        <v>0.17497535279230081</v>
      </c>
    </row>
    <row r="940" spans="1:6" x14ac:dyDescent="0.35">
      <c r="A940" s="2">
        <v>45616</v>
      </c>
      <c r="B940">
        <v>-5.1768606903965838E-4</v>
      </c>
      <c r="C940">
        <f t="shared" si="58"/>
        <v>11743.670844206954</v>
      </c>
      <c r="D940">
        <f t="shared" si="59"/>
        <v>11948.479293786644</v>
      </c>
      <c r="E940">
        <f t="shared" si="56"/>
        <v>-1.7140963677795606E-2</v>
      </c>
      <c r="F940" s="1">
        <f t="shared" si="57"/>
        <v>0.17436708442069548</v>
      </c>
    </row>
    <row r="941" spans="1:6" x14ac:dyDescent="0.35">
      <c r="A941" s="2">
        <v>45617</v>
      </c>
      <c r="B941">
        <v>3.5907807224044748E-3</v>
      </c>
      <c r="C941">
        <f t="shared" si="58"/>
        <v>11785.839791084596</v>
      </c>
      <c r="D941">
        <f t="shared" si="59"/>
        <v>11948.479293786644</v>
      </c>
      <c r="E941">
        <f t="shared" si="56"/>
        <v>-1.3611732397328824E-2</v>
      </c>
      <c r="F941" s="1">
        <f t="shared" si="57"/>
        <v>0.17858397910845958</v>
      </c>
    </row>
    <row r="942" spans="1:6" x14ac:dyDescent="0.35">
      <c r="A942" s="2">
        <v>45618</v>
      </c>
      <c r="B942">
        <v>4.205888694904375E-3</v>
      </c>
      <c r="C942">
        <f t="shared" si="58"/>
        <v>11835.409721421873</v>
      </c>
      <c r="D942">
        <f t="shared" si="59"/>
        <v>11948.479293786644</v>
      </c>
      <c r="E942">
        <f t="shared" si="56"/>
        <v>-9.4630931338324231E-3</v>
      </c>
      <c r="F942" s="1">
        <f t="shared" si="57"/>
        <v>0.18354097214218723</v>
      </c>
    </row>
    <row r="943" spans="1:6" x14ac:dyDescent="0.35">
      <c r="A943" s="2">
        <v>45621</v>
      </c>
      <c r="B943">
        <v>4.1011538155840332E-3</v>
      </c>
      <c r="C943">
        <f t="shared" si="58"/>
        <v>11883.948557159882</v>
      </c>
      <c r="D943">
        <f t="shared" si="59"/>
        <v>11948.479293786644</v>
      </c>
      <c r="E943">
        <f t="shared" si="56"/>
        <v>-5.4007489187615221E-3</v>
      </c>
      <c r="F943" s="1">
        <f t="shared" si="57"/>
        <v>0.18839485571598824</v>
      </c>
    </row>
    <row r="944" spans="1:6" x14ac:dyDescent="0.35">
      <c r="A944" s="2">
        <v>45622</v>
      </c>
      <c r="B944">
        <v>-9.3106718579701649E-4</v>
      </c>
      <c r="C944">
        <f t="shared" si="58"/>
        <v>11872.88380262061</v>
      </c>
      <c r="D944">
        <f t="shared" si="59"/>
        <v>11948.479293786644</v>
      </c>
      <c r="E944">
        <f t="shared" si="56"/>
        <v>-6.3267876444614846E-3</v>
      </c>
      <c r="F944" s="1">
        <f t="shared" si="57"/>
        <v>0.18728838026206107</v>
      </c>
    </row>
    <row r="945" spans="1:6" x14ac:dyDescent="0.35">
      <c r="A945" s="2">
        <v>45623</v>
      </c>
      <c r="B945">
        <v>1.5130108060632829E-3</v>
      </c>
      <c r="C945">
        <f t="shared" si="58"/>
        <v>11890.847604113109</v>
      </c>
      <c r="D945">
        <f t="shared" si="59"/>
        <v>11948.479293786644</v>
      </c>
      <c r="E945">
        <f t="shared" si="56"/>
        <v>-4.8233493364719937E-3</v>
      </c>
      <c r="F945" s="1">
        <f t="shared" si="57"/>
        <v>0.18908476041131084</v>
      </c>
    </row>
    <row r="946" spans="1:6" x14ac:dyDescent="0.35">
      <c r="A946" s="2">
        <v>45625</v>
      </c>
      <c r="B946">
        <v>5.1319059703844906E-3</v>
      </c>
      <c r="C946">
        <f t="shared" si="58"/>
        <v>11951.870315925589</v>
      </c>
      <c r="D946">
        <f t="shared" si="59"/>
        <v>11951.870315925589</v>
      </c>
      <c r="E946">
        <f t="shared" si="56"/>
        <v>0</v>
      </c>
      <c r="F946" s="1">
        <f t="shared" si="57"/>
        <v>0.19518703159255901</v>
      </c>
    </row>
    <row r="947" spans="1:6" x14ac:dyDescent="0.35">
      <c r="A947" s="2">
        <v>45628</v>
      </c>
      <c r="B947">
        <v>-6.7705616222892137E-4</v>
      </c>
      <c r="C947">
        <f t="shared" si="58"/>
        <v>11943.778228478031</v>
      </c>
      <c r="D947">
        <f t="shared" si="59"/>
        <v>11951.870315925589</v>
      </c>
      <c r="E947">
        <f t="shared" si="56"/>
        <v>-6.7705616222890619E-4</v>
      </c>
      <c r="F947" s="1">
        <f t="shared" si="57"/>
        <v>0.19437782284780325</v>
      </c>
    </row>
    <row r="948" spans="1:6" x14ac:dyDescent="0.35">
      <c r="A948" s="2">
        <v>45629</v>
      </c>
      <c r="B948">
        <v>-2.0978834630661669E-4</v>
      </c>
      <c r="C948">
        <f t="shared" si="58"/>
        <v>11941.272562994827</v>
      </c>
      <c r="D948">
        <f t="shared" si="59"/>
        <v>11951.870315925589</v>
      </c>
      <c r="E948">
        <f t="shared" si="56"/>
        <v>-8.8670247004274394E-4</v>
      </c>
      <c r="F948" s="1">
        <f t="shared" si="57"/>
        <v>0.19412725629948269</v>
      </c>
    </row>
    <row r="949" spans="1:6" x14ac:dyDescent="0.35">
      <c r="A949" s="2">
        <v>45630</v>
      </c>
      <c r="B949">
        <v>3.510538725392883E-3</v>
      </c>
      <c r="C949">
        <f t="shared" si="58"/>
        <v>11983.192862757693</v>
      </c>
      <c r="D949">
        <f t="shared" si="59"/>
        <v>11983.192862757693</v>
      </c>
      <c r="E949">
        <f t="shared" si="56"/>
        <v>0</v>
      </c>
      <c r="F949" s="1">
        <f t="shared" si="57"/>
        <v>0.19831928627576922</v>
      </c>
    </row>
    <row r="950" spans="1:6" x14ac:dyDescent="0.35">
      <c r="A950" s="2">
        <v>45631</v>
      </c>
      <c r="B950">
        <v>-1.2438525223292249E-3</v>
      </c>
      <c r="C950">
        <f t="shared" si="58"/>
        <v>11968.287538089795</v>
      </c>
      <c r="D950">
        <f t="shared" si="59"/>
        <v>11983.192862757693</v>
      </c>
      <c r="E950">
        <f t="shared" si="56"/>
        <v>-1.2438525223291697E-3</v>
      </c>
      <c r="F950" s="1">
        <f t="shared" si="57"/>
        <v>0.19682875380897946</v>
      </c>
    </row>
    <row r="951" spans="1:6" x14ac:dyDescent="0.35">
      <c r="A951" s="2">
        <v>45632</v>
      </c>
      <c r="B951">
        <v>1.0369533238440999E-3</v>
      </c>
      <c r="C951">
        <f t="shared" si="58"/>
        <v>11980.69809363314</v>
      </c>
      <c r="D951">
        <f t="shared" si="59"/>
        <v>11983.192862757693</v>
      </c>
      <c r="E951">
        <f t="shared" si="56"/>
        <v>-2.0818901549235491E-4</v>
      </c>
      <c r="F951" s="1">
        <f t="shared" si="57"/>
        <v>0.19806980936331398</v>
      </c>
    </row>
    <row r="952" spans="1:6" x14ac:dyDescent="0.35">
      <c r="A952" s="2">
        <v>45635</v>
      </c>
      <c r="B952">
        <v>6.5061482819595028E-4</v>
      </c>
      <c r="C952">
        <f t="shared" si="58"/>
        <v>11988.492913464997</v>
      </c>
      <c r="D952">
        <f t="shared" si="59"/>
        <v>11988.492913464997</v>
      </c>
      <c r="E952">
        <f t="shared" si="56"/>
        <v>0</v>
      </c>
      <c r="F952" s="1">
        <f t="shared" si="57"/>
        <v>0.19884929134649965</v>
      </c>
    </row>
    <row r="953" spans="1:6" x14ac:dyDescent="0.35">
      <c r="A953" s="2">
        <v>45636</v>
      </c>
      <c r="B953">
        <v>-3.545160649771591E-3</v>
      </c>
      <c r="C953">
        <f t="shared" si="58"/>
        <v>11945.991780138116</v>
      </c>
      <c r="D953">
        <f t="shared" si="59"/>
        <v>11988.492913464997</v>
      </c>
      <c r="E953">
        <f t="shared" si="56"/>
        <v>-3.545160649771506E-3</v>
      </c>
      <c r="F953" s="1">
        <f t="shared" si="57"/>
        <v>0.19459917801381166</v>
      </c>
    </row>
    <row r="954" spans="1:6" x14ac:dyDescent="0.35">
      <c r="A954" s="2">
        <v>45637</v>
      </c>
      <c r="B954">
        <v>3.7918476159184409E-3</v>
      </c>
      <c r="C954">
        <f t="shared" si="58"/>
        <v>11991.289160589415</v>
      </c>
      <c r="D954">
        <f t="shared" si="59"/>
        <v>11991.289160589415</v>
      </c>
      <c r="E954">
        <f t="shared" si="56"/>
        <v>0</v>
      </c>
      <c r="F954" s="1">
        <f t="shared" si="57"/>
        <v>0.19912891605894156</v>
      </c>
    </row>
    <row r="955" spans="1:6" x14ac:dyDescent="0.35">
      <c r="A955" s="2">
        <v>45638</v>
      </c>
      <c r="B955">
        <v>-6.9136741680859166E-3</v>
      </c>
      <c r="C955">
        <f t="shared" si="58"/>
        <v>11908.385294477799</v>
      </c>
      <c r="D955">
        <f t="shared" si="59"/>
        <v>11991.289160589415</v>
      </c>
      <c r="E955">
        <f t="shared" si="56"/>
        <v>-6.9136741680858593E-3</v>
      </c>
      <c r="F955" s="1">
        <f t="shared" si="57"/>
        <v>0.1908385294477799</v>
      </c>
    </row>
    <row r="956" spans="1:6" x14ac:dyDescent="0.35">
      <c r="A956" s="2">
        <v>45639</v>
      </c>
      <c r="B956">
        <v>-3.3363834743427171E-3</v>
      </c>
      <c r="C956">
        <f t="shared" si="58"/>
        <v>11868.654354575197</v>
      </c>
      <c r="D956">
        <f t="shared" si="59"/>
        <v>11991.289160589415</v>
      </c>
      <c r="E956">
        <f t="shared" si="56"/>
        <v>-1.0226990974187222E-2</v>
      </c>
      <c r="F956" s="1">
        <f t="shared" si="57"/>
        <v>0.18686543545751966</v>
      </c>
    </row>
    <row r="957" spans="1:6" x14ac:dyDescent="0.35">
      <c r="A957" s="2">
        <v>45642</v>
      </c>
      <c r="B957">
        <v>1.3186574215712081E-3</v>
      </c>
      <c r="C957">
        <f t="shared" si="58"/>
        <v>11884.30504372392</v>
      </c>
      <c r="D957">
        <f t="shared" si="59"/>
        <v>11991.289160589415</v>
      </c>
      <c r="E957">
        <f t="shared" si="56"/>
        <v>-8.9218194501645698E-3</v>
      </c>
      <c r="F957" s="1">
        <f t="shared" si="57"/>
        <v>0.18843050437239195</v>
      </c>
    </row>
    <row r="958" spans="1:6" x14ac:dyDescent="0.35">
      <c r="A958" s="2">
        <v>45643</v>
      </c>
      <c r="B958">
        <v>-3.2466490477030172E-3</v>
      </c>
      <c r="C958">
        <f t="shared" si="58"/>
        <v>11845.720876071102</v>
      </c>
      <c r="D958">
        <f t="shared" si="59"/>
        <v>11991.289160589415</v>
      </c>
      <c r="E958">
        <f t="shared" si="56"/>
        <v>-1.2139502481245956E-2</v>
      </c>
      <c r="F958" s="1">
        <f t="shared" si="57"/>
        <v>0.18457208760711019</v>
      </c>
    </row>
    <row r="959" spans="1:6" x14ac:dyDescent="0.35">
      <c r="A959" s="2">
        <v>45644</v>
      </c>
      <c r="B959">
        <v>-2.253030409344265E-2</v>
      </c>
      <c r="C959">
        <f t="shared" si="58"/>
        <v>11578.833182527178</v>
      </c>
      <c r="D959">
        <f t="shared" si="59"/>
        <v>11991.289160589415</v>
      </c>
      <c r="E959">
        <f t="shared" si="56"/>
        <v>-3.4396299892243021E-2</v>
      </c>
      <c r="F959" s="1">
        <f t="shared" si="57"/>
        <v>0.15788331825271773</v>
      </c>
    </row>
    <row r="960" spans="1:6" x14ac:dyDescent="0.35">
      <c r="A960" s="2">
        <v>45645</v>
      </c>
      <c r="B960">
        <v>-4.0993941301155912E-3</v>
      </c>
      <c r="C960">
        <f t="shared" si="58"/>
        <v>11531.366981745137</v>
      </c>
      <c r="D960">
        <f t="shared" si="59"/>
        <v>11991.289160589415</v>
      </c>
      <c r="E960">
        <f t="shared" si="56"/>
        <v>-3.8354690032482708E-2</v>
      </c>
      <c r="F960" s="1">
        <f t="shared" si="57"/>
        <v>0.1531366981745137</v>
      </c>
    </row>
    <row r="961" spans="1:6" x14ac:dyDescent="0.35">
      <c r="A961" s="2">
        <v>45646</v>
      </c>
      <c r="B961">
        <v>7.0531500001946162E-3</v>
      </c>
      <c r="C961">
        <f t="shared" si="58"/>
        <v>11612.699442774678</v>
      </c>
      <c r="D961">
        <f t="shared" si="59"/>
        <v>11991.289160589415</v>
      </c>
      <c r="E961">
        <f t="shared" si="56"/>
        <v>-3.1572061414298136E-2</v>
      </c>
      <c r="F961" s="1">
        <f t="shared" si="57"/>
        <v>0.16126994427746766</v>
      </c>
    </row>
    <row r="962" spans="1:6" x14ac:dyDescent="0.35">
      <c r="A962" s="2">
        <v>45649</v>
      </c>
      <c r="B962">
        <v>5.3604024700073334E-4</v>
      </c>
      <c r="C962">
        <f t="shared" si="58"/>
        <v>11618.924317052328</v>
      </c>
      <c r="D962">
        <f t="shared" si="59"/>
        <v>11991.289160589415</v>
      </c>
      <c r="E962">
        <f t="shared" si="56"/>
        <v>-3.1052945062896242E-2</v>
      </c>
      <c r="F962" s="1">
        <f t="shared" si="57"/>
        <v>0.16189243170523282</v>
      </c>
    </row>
    <row r="963" spans="1:6" x14ac:dyDescent="0.35">
      <c r="A963" s="2">
        <v>45650</v>
      </c>
      <c r="B963">
        <v>5.4727797404746249E-3</v>
      </c>
      <c r="C963">
        <f t="shared" si="58"/>
        <v>11682.512130660798</v>
      </c>
      <c r="D963">
        <f t="shared" si="59"/>
        <v>11991.289160589415</v>
      </c>
      <c r="E963">
        <f t="shared" ref="E963:E1026" si="60">(C963/D963)-1</f>
        <v>-2.5750111251044094E-2</v>
      </c>
      <c r="F963" s="1">
        <f t="shared" ref="F963:F1026" si="61">C963/$C$2-1</f>
        <v>0.16825121306607982</v>
      </c>
    </row>
    <row r="964" spans="1:6" x14ac:dyDescent="0.35">
      <c r="A964" s="2">
        <v>45652</v>
      </c>
      <c r="B964">
        <v>1.7598197555604321E-3</v>
      </c>
      <c r="C964">
        <f t="shared" ref="C964:C1027" si="62">C963*(1+B964)</f>
        <v>11703.071246302909</v>
      </c>
      <c r="D964">
        <f t="shared" ref="D964:D1027" si="63">MAX(D963,C964)</f>
        <v>11991.289160589415</v>
      </c>
      <c r="E964">
        <f t="shared" si="60"/>
        <v>-2.4035607049971208E-2</v>
      </c>
      <c r="F964" s="1">
        <f t="shared" si="61"/>
        <v>0.17030712463029096</v>
      </c>
    </row>
    <row r="965" spans="1:6" x14ac:dyDescent="0.35">
      <c r="A965" s="2">
        <v>45653</v>
      </c>
      <c r="B965">
        <v>-6.2401092210553916E-3</v>
      </c>
      <c r="C965">
        <f t="shared" si="62"/>
        <v>11630.042803504184</v>
      </c>
      <c r="D965">
        <f t="shared" si="63"/>
        <v>11991.289160589415</v>
      </c>
      <c r="E965">
        <f t="shared" si="60"/>
        <v>-3.0125731457840477E-2</v>
      </c>
      <c r="F965" s="1">
        <f t="shared" si="61"/>
        <v>0.16300428035041836</v>
      </c>
    </row>
    <row r="966" spans="1:6" x14ac:dyDescent="0.35">
      <c r="A966" s="2">
        <v>45656</v>
      </c>
      <c r="B966">
        <v>-2.2105571707811498E-3</v>
      </c>
      <c r="C966">
        <f t="shared" si="62"/>
        <v>11604.333928988406</v>
      </c>
      <c r="D966">
        <f t="shared" si="63"/>
        <v>11991.289160589415</v>
      </c>
      <c r="E966">
        <f t="shared" si="60"/>
        <v>-3.2269693976922476E-2</v>
      </c>
      <c r="F966" s="1">
        <f t="shared" si="61"/>
        <v>0.16043339289884062</v>
      </c>
    </row>
    <row r="967" spans="1:6" x14ac:dyDescent="0.35">
      <c r="A967" s="2">
        <v>45657</v>
      </c>
      <c r="B967">
        <v>-3.2607548258296659E-4</v>
      </c>
      <c r="C967">
        <f t="shared" si="62"/>
        <v>11600.550040202457</v>
      </c>
      <c r="D967">
        <f t="shared" si="63"/>
        <v>11991.289160589415</v>
      </c>
      <c r="E967">
        <f t="shared" si="60"/>
        <v>-3.2585247103469217E-2</v>
      </c>
      <c r="F967" s="1">
        <f t="shared" si="61"/>
        <v>0.16005500402024575</v>
      </c>
    </row>
    <row r="968" spans="1:6" x14ac:dyDescent="0.35">
      <c r="A968" s="2">
        <v>45659</v>
      </c>
      <c r="B968">
        <v>9.8899339078023334E-4</v>
      </c>
      <c r="C968">
        <f t="shared" si="62"/>
        <v>11612.022907521634</v>
      </c>
      <c r="D968">
        <f t="shared" si="63"/>
        <v>11991.289160589415</v>
      </c>
      <c r="E968">
        <f t="shared" si="60"/>
        <v>-3.1628480306711171E-2</v>
      </c>
      <c r="F968" s="1">
        <f t="shared" si="61"/>
        <v>0.1612022907521633</v>
      </c>
    </row>
    <row r="969" spans="1:6" x14ac:dyDescent="0.35">
      <c r="A969" s="2">
        <v>45660</v>
      </c>
      <c r="B969">
        <v>4.3339679137206003E-3</v>
      </c>
      <c r="C969">
        <f t="shared" si="62"/>
        <v>11662.349042216221</v>
      </c>
      <c r="D969">
        <f t="shared" si="63"/>
        <v>11991.289160589415</v>
      </c>
      <c r="E969">
        <f t="shared" si="60"/>
        <v>-2.7431589211799556E-2</v>
      </c>
      <c r="F969" s="1">
        <f t="shared" si="61"/>
        <v>0.16623490422162224</v>
      </c>
    </row>
    <row r="970" spans="1:6" x14ac:dyDescent="0.35">
      <c r="A970" s="2">
        <v>45663</v>
      </c>
      <c r="B970">
        <v>1.024881479719767E-3</v>
      </c>
      <c r="C970">
        <f t="shared" si="62"/>
        <v>11674.301567759616</v>
      </c>
      <c r="D970">
        <f t="shared" si="63"/>
        <v>11991.289160589415</v>
      </c>
      <c r="E970">
        <f t="shared" si="60"/>
        <v>-2.6434821859822266E-2</v>
      </c>
      <c r="F970" s="1">
        <f t="shared" si="61"/>
        <v>0.16743015677596151</v>
      </c>
    </row>
    <row r="971" spans="1:6" x14ac:dyDescent="0.35">
      <c r="A971" s="2">
        <v>45664</v>
      </c>
      <c r="B971">
        <v>-5.6667386337857333E-3</v>
      </c>
      <c r="C971">
        <f t="shared" si="62"/>
        <v>11608.146352043126</v>
      </c>
      <c r="D971">
        <f t="shared" si="63"/>
        <v>11991.289160589415</v>
      </c>
      <c r="E971">
        <f t="shared" si="60"/>
        <v>-3.1951761267297818E-2</v>
      </c>
      <c r="F971" s="1">
        <f t="shared" si="61"/>
        <v>0.16081463520431272</v>
      </c>
    </row>
    <row r="972" spans="1:6" x14ac:dyDescent="0.35">
      <c r="A972" s="2">
        <v>45665</v>
      </c>
      <c r="B972">
        <v>2.299789999943084E-4</v>
      </c>
      <c r="C972">
        <f t="shared" si="62"/>
        <v>11610.815981932956</v>
      </c>
      <c r="D972">
        <f t="shared" si="63"/>
        <v>11991.289160589415</v>
      </c>
      <c r="E972">
        <f t="shared" si="60"/>
        <v>-3.1729130501407798E-2</v>
      </c>
      <c r="F972" s="1">
        <f t="shared" si="61"/>
        <v>0.16108159819329559</v>
      </c>
    </row>
    <row r="973" spans="1:6" x14ac:dyDescent="0.35">
      <c r="A973" s="2">
        <v>45667</v>
      </c>
      <c r="B973">
        <v>-8.1657995417918575E-3</v>
      </c>
      <c r="C973">
        <f t="shared" si="62"/>
        <v>11516.004386107857</v>
      </c>
      <c r="D973">
        <f t="shared" si="63"/>
        <v>11991.289160589415</v>
      </c>
      <c r="E973">
        <f t="shared" si="60"/>
        <v>-3.9635836323889895E-2</v>
      </c>
      <c r="F973" s="1">
        <f t="shared" si="61"/>
        <v>0.15160043861078565</v>
      </c>
    </row>
    <row r="974" spans="1:6" x14ac:dyDescent="0.35">
      <c r="A974" s="2">
        <v>45670</v>
      </c>
      <c r="B974">
        <v>-4.1666258199542488E-4</v>
      </c>
      <c r="C974">
        <f t="shared" si="62"/>
        <v>11511.206097986071</v>
      </c>
      <c r="D974">
        <f t="shared" si="63"/>
        <v>11991.289160589415</v>
      </c>
      <c r="E974">
        <f t="shared" si="60"/>
        <v>-4.0035984135983083E-2</v>
      </c>
      <c r="F974" s="1">
        <f t="shared" si="61"/>
        <v>0.15112060979860709</v>
      </c>
    </row>
    <row r="975" spans="1:6" x14ac:dyDescent="0.35">
      <c r="A975" s="2">
        <v>45671</v>
      </c>
      <c r="B975">
        <v>3.475375284761341E-3</v>
      </c>
      <c r="C975">
        <f t="shared" si="62"/>
        <v>11551.211859156807</v>
      </c>
      <c r="D975">
        <f t="shared" si="63"/>
        <v>11991.289160589415</v>
      </c>
      <c r="E975">
        <f t="shared" si="60"/>
        <v>-3.6699748920988928E-2</v>
      </c>
      <c r="F975" s="1">
        <f t="shared" si="61"/>
        <v>0.15512118591568069</v>
      </c>
    </row>
    <row r="976" spans="1:6" x14ac:dyDescent="0.35">
      <c r="A976" s="2">
        <v>45672</v>
      </c>
      <c r="B976">
        <v>1.371526773692913E-2</v>
      </c>
      <c r="C976">
        <f t="shared" si="62"/>
        <v>11709.639822491134</v>
      </c>
      <c r="D976">
        <f t="shared" si="63"/>
        <v>11991.289160589415</v>
      </c>
      <c r="E976">
        <f t="shared" si="60"/>
        <v>-2.3487828066389271E-2</v>
      </c>
      <c r="F976" s="1">
        <f t="shared" si="61"/>
        <v>0.17096398224911336</v>
      </c>
    </row>
    <row r="977" spans="1:6" x14ac:dyDescent="0.35">
      <c r="A977" s="2">
        <v>45673</v>
      </c>
      <c r="B977">
        <v>2.4115674375740082E-3</v>
      </c>
      <c r="C977">
        <f t="shared" si="62"/>
        <v>11737.878408592773</v>
      </c>
      <c r="D977">
        <f t="shared" si="63"/>
        <v>11991.289160589415</v>
      </c>
      <c r="E977">
        <f t="shared" si="60"/>
        <v>-2.1132903110159473E-2</v>
      </c>
      <c r="F977" s="1">
        <f t="shared" si="61"/>
        <v>0.17378784085927723</v>
      </c>
    </row>
    <row r="978" spans="1:6" x14ac:dyDescent="0.35">
      <c r="A978" s="2">
        <v>45674</v>
      </c>
      <c r="B978">
        <v>3.082901642515175E-3</v>
      </c>
      <c r="C978">
        <f t="shared" si="62"/>
        <v>11774.065133218266</v>
      </c>
      <c r="D978">
        <f t="shared" si="63"/>
        <v>11991.289160589415</v>
      </c>
      <c r="E978">
        <f t="shared" si="60"/>
        <v>-1.8115152129353773E-2</v>
      </c>
      <c r="F978" s="1">
        <f t="shared" si="61"/>
        <v>0.17740651332182655</v>
      </c>
    </row>
    <row r="979" spans="1:6" x14ac:dyDescent="0.35">
      <c r="A979" s="2">
        <v>45678</v>
      </c>
      <c r="B979">
        <v>9.5983303649996663E-3</v>
      </c>
      <c r="C979">
        <f t="shared" si="62"/>
        <v>11887.076500105917</v>
      </c>
      <c r="D979">
        <f t="shared" si="63"/>
        <v>11991.289160589415</v>
      </c>
      <c r="E979">
        <f t="shared" si="60"/>
        <v>-8.6906969791040733E-3</v>
      </c>
      <c r="F979" s="1">
        <f t="shared" si="61"/>
        <v>0.18870765001059175</v>
      </c>
    </row>
    <row r="980" spans="1:6" x14ac:dyDescent="0.35">
      <c r="A980" s="2">
        <v>45679</v>
      </c>
      <c r="B980">
        <v>-1.2703526407043661E-3</v>
      </c>
      <c r="C980">
        <f t="shared" si="62"/>
        <v>11871.975721083752</v>
      </c>
      <c r="D980">
        <f t="shared" si="63"/>
        <v>11991.289160589415</v>
      </c>
      <c r="E980">
        <f t="shared" si="60"/>
        <v>-9.9500093699514958E-3</v>
      </c>
      <c r="F980" s="1">
        <f t="shared" si="61"/>
        <v>0.18719757210837518</v>
      </c>
    </row>
    <row r="981" spans="1:6" x14ac:dyDescent="0.35">
      <c r="A981" s="2">
        <v>45680</v>
      </c>
      <c r="B981">
        <v>1.210706623461108E-3</v>
      </c>
      <c r="C981">
        <f t="shared" si="62"/>
        <v>11886.349200722836</v>
      </c>
      <c r="D981">
        <f t="shared" si="63"/>
        <v>11991.289160589415</v>
      </c>
      <c r="E981">
        <f t="shared" si="60"/>
        <v>-8.7513492887382194E-3</v>
      </c>
      <c r="F981" s="1">
        <f t="shared" si="61"/>
        <v>0.18863492007228366</v>
      </c>
    </row>
    <row r="982" spans="1:6" x14ac:dyDescent="0.35">
      <c r="A982" s="2">
        <v>45681</v>
      </c>
      <c r="B982">
        <v>1.7105695559467169E-3</v>
      </c>
      <c r="C982">
        <f t="shared" si="62"/>
        <v>11906.681627796945</v>
      </c>
      <c r="D982">
        <f t="shared" si="63"/>
        <v>11991.289160589415</v>
      </c>
      <c r="E982">
        <f t="shared" si="60"/>
        <v>-7.0557495244581991E-3</v>
      </c>
      <c r="F982" s="1">
        <f t="shared" si="61"/>
        <v>0.19066816277969445</v>
      </c>
    </row>
    <row r="983" spans="1:6" x14ac:dyDescent="0.35">
      <c r="A983" s="2">
        <v>45684</v>
      </c>
      <c r="B983">
        <v>-4.7809486731396579E-3</v>
      </c>
      <c r="C983">
        <f t="shared" si="62"/>
        <v>11849.756394067033</v>
      </c>
      <c r="D983">
        <f t="shared" si="63"/>
        <v>11991.289160589415</v>
      </c>
      <c r="E983">
        <f t="shared" si="60"/>
        <v>-1.1802965021270873E-2</v>
      </c>
      <c r="F983" s="1">
        <f t="shared" si="61"/>
        <v>0.18497563940670325</v>
      </c>
    </row>
    <row r="984" spans="1:6" x14ac:dyDescent="0.35">
      <c r="A984" s="2">
        <v>45685</v>
      </c>
      <c r="B984">
        <v>2.1432347381131331E-3</v>
      </c>
      <c r="C984">
        <f t="shared" si="62"/>
        <v>11875.153203608977</v>
      </c>
      <c r="D984">
        <f t="shared" si="63"/>
        <v>11991.289160589415</v>
      </c>
      <c r="E984">
        <f t="shared" si="60"/>
        <v>-9.6850268078039203E-3</v>
      </c>
      <c r="F984" s="1">
        <f t="shared" si="61"/>
        <v>0.18751532036089769</v>
      </c>
    </row>
    <row r="985" spans="1:6" x14ac:dyDescent="0.35">
      <c r="A985" s="2">
        <v>45686</v>
      </c>
      <c r="B985">
        <v>-2.4105816430454422E-3</v>
      </c>
      <c r="C985">
        <f t="shared" si="62"/>
        <v>11846.527177288006</v>
      </c>
      <c r="D985">
        <f t="shared" si="63"/>
        <v>11991.289160589415</v>
      </c>
      <c r="E985">
        <f t="shared" si="60"/>
        <v>-1.2072261903014025E-2</v>
      </c>
      <c r="F985" s="1">
        <f t="shared" si="61"/>
        <v>0.18465271772880065</v>
      </c>
    </row>
    <row r="986" spans="1:6" x14ac:dyDescent="0.35">
      <c r="A986" s="2">
        <v>45687</v>
      </c>
      <c r="B986">
        <v>7.210547493398391E-3</v>
      </c>
      <c r="C986">
        <f t="shared" si="62"/>
        <v>11931.947124131675</v>
      </c>
      <c r="D986">
        <f t="shared" si="63"/>
        <v>11991.289160589415</v>
      </c>
      <c r="E986">
        <f t="shared" si="60"/>
        <v>-4.9487620274201172E-3</v>
      </c>
      <c r="F986" s="1">
        <f t="shared" si="61"/>
        <v>0.19319471241316744</v>
      </c>
    </row>
    <row r="987" spans="1:6" x14ac:dyDescent="0.35">
      <c r="A987" s="2">
        <v>45688</v>
      </c>
      <c r="B987">
        <v>-4.327571086634458E-3</v>
      </c>
      <c r="C987">
        <f t="shared" si="62"/>
        <v>11880.310774750031</v>
      </c>
      <c r="D987">
        <f t="shared" si="63"/>
        <v>11991.289160589415</v>
      </c>
      <c r="E987">
        <f t="shared" si="60"/>
        <v>-9.2549169945901344E-3</v>
      </c>
      <c r="F987" s="1">
        <f t="shared" si="61"/>
        <v>0.18803107747500314</v>
      </c>
    </row>
    <row r="988" spans="1:6" x14ac:dyDescent="0.35">
      <c r="A988" s="2">
        <v>45691</v>
      </c>
      <c r="B988">
        <v>-2.1064538128996251E-3</v>
      </c>
      <c r="C988">
        <f t="shared" si="62"/>
        <v>11855.285448820126</v>
      </c>
      <c r="D988">
        <f t="shared" si="63"/>
        <v>11991.289160589415</v>
      </c>
      <c r="E988">
        <f t="shared" si="60"/>
        <v>-1.1341875752298392E-2</v>
      </c>
      <c r="F988" s="1">
        <f t="shared" si="61"/>
        <v>0.18552854488201276</v>
      </c>
    </row>
    <row r="989" spans="1:6" x14ac:dyDescent="0.35">
      <c r="A989" s="2">
        <v>45692</v>
      </c>
      <c r="B989">
        <v>7.1967650359175666E-3</v>
      </c>
      <c r="C989">
        <f t="shared" si="62"/>
        <v>11940.605152629016</v>
      </c>
      <c r="D989">
        <f t="shared" si="63"/>
        <v>11991.289160589415</v>
      </c>
      <c r="E989">
        <f t="shared" si="60"/>
        <v>-4.2267355312368693E-3</v>
      </c>
      <c r="F989" s="1">
        <f t="shared" si="61"/>
        <v>0.19406051526290158</v>
      </c>
    </row>
    <row r="990" spans="1:6" x14ac:dyDescent="0.35">
      <c r="A990" s="2">
        <v>45693</v>
      </c>
      <c r="B990">
        <v>6.0443477277307084E-3</v>
      </c>
      <c r="C990">
        <f t="shared" si="62"/>
        <v>12012.778322251039</v>
      </c>
      <c r="D990">
        <f t="shared" si="63"/>
        <v>12012.778322251039</v>
      </c>
      <c r="E990">
        <f t="shared" si="60"/>
        <v>0</v>
      </c>
      <c r="F990" s="1">
        <f t="shared" si="61"/>
        <v>0.20127783222510387</v>
      </c>
    </row>
    <row r="991" spans="1:6" x14ac:dyDescent="0.35">
      <c r="A991" s="2">
        <v>45694</v>
      </c>
      <c r="B991">
        <v>8.0781766000638338E-4</v>
      </c>
      <c r="C991">
        <f t="shared" si="62"/>
        <v>12022.482456725495</v>
      </c>
      <c r="D991">
        <f t="shared" si="63"/>
        <v>12022.482456725495</v>
      </c>
      <c r="E991">
        <f t="shared" si="60"/>
        <v>0</v>
      </c>
      <c r="F991" s="1">
        <f t="shared" si="61"/>
        <v>0.2022482456725494</v>
      </c>
    </row>
    <row r="992" spans="1:6" x14ac:dyDescent="0.35">
      <c r="A992" s="2">
        <v>45695</v>
      </c>
      <c r="B992">
        <v>-5.1690993663039003E-3</v>
      </c>
      <c r="C992">
        <f t="shared" si="62"/>
        <v>11960.337050277034</v>
      </c>
      <c r="D992">
        <f t="shared" si="63"/>
        <v>12022.482456725495</v>
      </c>
      <c r="E992">
        <f t="shared" si="60"/>
        <v>-5.169099366303942E-3</v>
      </c>
      <c r="F992" s="1">
        <f t="shared" si="61"/>
        <v>0.19603370502770345</v>
      </c>
    </row>
    <row r="993" spans="1:6" x14ac:dyDescent="0.35">
      <c r="A993" s="2">
        <v>45698</v>
      </c>
      <c r="B993">
        <v>6.0233780742075674E-3</v>
      </c>
      <c r="C993">
        <f t="shared" si="62"/>
        <v>12032.378682225806</v>
      </c>
      <c r="D993">
        <f t="shared" si="63"/>
        <v>12032.378682225806</v>
      </c>
      <c r="E993">
        <f t="shared" si="60"/>
        <v>0</v>
      </c>
      <c r="F993" s="1">
        <f t="shared" si="61"/>
        <v>0.20323786822258061</v>
      </c>
    </row>
    <row r="994" spans="1:6" x14ac:dyDescent="0.35">
      <c r="A994" s="2">
        <v>45699</v>
      </c>
      <c r="B994">
        <v>-8.2227950073331666E-4</v>
      </c>
      <c r="C994">
        <f t="shared" si="62"/>
        <v>12022.484703890352</v>
      </c>
      <c r="D994">
        <f t="shared" si="63"/>
        <v>12032.378682225806</v>
      </c>
      <c r="E994">
        <f t="shared" si="60"/>
        <v>-8.2227950073332501E-4</v>
      </c>
      <c r="F994" s="1">
        <f t="shared" si="61"/>
        <v>0.20224847038903526</v>
      </c>
    </row>
    <row r="995" spans="1:6" x14ac:dyDescent="0.35">
      <c r="A995" s="2">
        <v>45700</v>
      </c>
      <c r="B995">
        <v>-4.1573539999539E-3</v>
      </c>
      <c r="C995">
        <f t="shared" si="62"/>
        <v>11972.502979017248</v>
      </c>
      <c r="D995">
        <f t="shared" si="63"/>
        <v>12032.378682225806</v>
      </c>
      <c r="E995">
        <f t="shared" si="60"/>
        <v>-4.9762149937156996E-3</v>
      </c>
      <c r="F995" s="1">
        <f t="shared" si="61"/>
        <v>0.19725029790172477</v>
      </c>
    </row>
    <row r="996" spans="1:6" x14ac:dyDescent="0.35">
      <c r="A996" s="2">
        <v>45701</v>
      </c>
      <c r="B996">
        <v>9.6604562257835008E-3</v>
      </c>
      <c r="C996">
        <f t="shared" si="62"/>
        <v>12088.162819959109</v>
      </c>
      <c r="D996">
        <f t="shared" si="63"/>
        <v>12088.162819959109</v>
      </c>
      <c r="E996">
        <f t="shared" si="60"/>
        <v>0</v>
      </c>
      <c r="F996" s="1">
        <f t="shared" si="61"/>
        <v>0.20881628199591096</v>
      </c>
    </row>
    <row r="997" spans="1:6" x14ac:dyDescent="0.35">
      <c r="A997" s="2">
        <v>45702</v>
      </c>
      <c r="B997">
        <v>6.7678134934772566E-4</v>
      </c>
      <c r="C997">
        <f t="shared" si="62"/>
        <v>12096.343863103537</v>
      </c>
      <c r="D997">
        <f t="shared" si="63"/>
        <v>12096.343863103537</v>
      </c>
      <c r="E997">
        <f t="shared" si="60"/>
        <v>0</v>
      </c>
      <c r="F997" s="1">
        <f t="shared" si="61"/>
        <v>0.2096343863103538</v>
      </c>
    </row>
    <row r="998" spans="1:6" x14ac:dyDescent="0.35">
      <c r="A998" s="2">
        <v>45706</v>
      </c>
      <c r="B998">
        <v>3.154165890678583E-3</v>
      </c>
      <c r="C998">
        <f t="shared" si="62"/>
        <v>12134.497738318458</v>
      </c>
      <c r="D998">
        <f t="shared" si="63"/>
        <v>12134.497738318458</v>
      </c>
      <c r="E998">
        <f t="shared" si="60"/>
        <v>0</v>
      </c>
      <c r="F998" s="1">
        <f t="shared" si="61"/>
        <v>0.21344977383184571</v>
      </c>
    </row>
    <row r="999" spans="1:6" x14ac:dyDescent="0.35">
      <c r="A999" s="2">
        <v>45707</v>
      </c>
      <c r="B999">
        <v>6.0684037243741698E-5</v>
      </c>
      <c r="C999">
        <f t="shared" si="62"/>
        <v>12135.234108631143</v>
      </c>
      <c r="D999">
        <f t="shared" si="63"/>
        <v>12135.234108631143</v>
      </c>
      <c r="E999">
        <f t="shared" si="60"/>
        <v>0</v>
      </c>
      <c r="F999" s="1">
        <f t="shared" si="61"/>
        <v>0.21352341086311433</v>
      </c>
    </row>
    <row r="1000" spans="1:6" x14ac:dyDescent="0.35">
      <c r="A1000" s="2">
        <v>45708</v>
      </c>
      <c r="B1000">
        <v>9.401889290909331E-4</v>
      </c>
      <c r="C1000">
        <f t="shared" si="62"/>
        <v>12146.643521392005</v>
      </c>
      <c r="D1000">
        <f t="shared" si="63"/>
        <v>12146.643521392005</v>
      </c>
      <c r="E1000">
        <f t="shared" si="60"/>
        <v>0</v>
      </c>
      <c r="F1000" s="1">
        <f t="shared" si="61"/>
        <v>0.21466435213920043</v>
      </c>
    </row>
    <row r="1001" spans="1:6" x14ac:dyDescent="0.35">
      <c r="A1001" s="2">
        <v>45709</v>
      </c>
      <c r="B1001">
        <v>-6.7346212076274167E-3</v>
      </c>
      <c r="C1001">
        <f t="shared" si="62"/>
        <v>12064.840478331347</v>
      </c>
      <c r="D1001">
        <f t="shared" si="63"/>
        <v>12146.643521392005</v>
      </c>
      <c r="E1001">
        <f t="shared" si="60"/>
        <v>-6.734621207627467E-3</v>
      </c>
      <c r="F1001" s="1">
        <f t="shared" si="61"/>
        <v>0.20648404783313468</v>
      </c>
    </row>
    <row r="1002" spans="1:6" x14ac:dyDescent="0.35">
      <c r="A1002" s="2">
        <v>45712</v>
      </c>
      <c r="B1002">
        <v>-2.069925777890017E-3</v>
      </c>
      <c r="C1002">
        <f t="shared" si="62"/>
        <v>12039.867154019119</v>
      </c>
      <c r="D1002">
        <f t="shared" si="63"/>
        <v>12146.643521392005</v>
      </c>
      <c r="E1002">
        <f t="shared" si="60"/>
        <v>-8.7906068194754106E-3</v>
      </c>
      <c r="F1002" s="1">
        <f t="shared" si="61"/>
        <v>0.20398671540191193</v>
      </c>
    </row>
    <row r="1003" spans="1:6" x14ac:dyDescent="0.35">
      <c r="A1003" s="2">
        <v>45713</v>
      </c>
      <c r="B1003">
        <v>9.7497904742752518E-4</v>
      </c>
      <c r="C1003">
        <f t="shared" si="62"/>
        <v>12051.6057722281</v>
      </c>
      <c r="D1003">
        <f t="shared" si="63"/>
        <v>12146.643521392005</v>
      </c>
      <c r="E1003">
        <f t="shared" si="60"/>
        <v>-7.8241984295109868E-3</v>
      </c>
      <c r="F1003" s="1">
        <f t="shared" si="61"/>
        <v>0.20516057722281</v>
      </c>
    </row>
    <row r="1004" spans="1:6" x14ac:dyDescent="0.35">
      <c r="A1004" s="2">
        <v>45714</v>
      </c>
      <c r="B1004">
        <v>1.36831939179675E-3</v>
      </c>
      <c r="C1004">
        <f t="shared" si="62"/>
        <v>12068.096218108531</v>
      </c>
      <c r="D1004">
        <f t="shared" si="63"/>
        <v>12146.643521392005</v>
      </c>
      <c r="E1004">
        <f t="shared" si="60"/>
        <v>-6.4665850401505187E-3</v>
      </c>
      <c r="F1004" s="1">
        <f t="shared" si="61"/>
        <v>0.20680962181085305</v>
      </c>
    </row>
    <row r="1005" spans="1:6" x14ac:dyDescent="0.35">
      <c r="A1005" s="2">
        <v>45715</v>
      </c>
      <c r="B1005">
        <v>-9.4955573111321669E-3</v>
      </c>
      <c r="C1005">
        <f t="shared" si="62"/>
        <v>11953.502918833225</v>
      </c>
      <c r="D1005">
        <f t="shared" si="63"/>
        <v>12146.643521392005</v>
      </c>
      <c r="E1005">
        <f t="shared" si="60"/>
        <v>-1.5900738522426461E-2</v>
      </c>
      <c r="F1005" s="1">
        <f t="shared" si="61"/>
        <v>0.19535029188332254</v>
      </c>
    </row>
    <row r="1006" spans="1:6" x14ac:dyDescent="0.35">
      <c r="A1006" s="2">
        <v>45716</v>
      </c>
      <c r="B1006">
        <v>4.1569701136165748E-3</v>
      </c>
      <c r="C1006">
        <f t="shared" si="62"/>
        <v>12003.193273219844</v>
      </c>
      <c r="D1006">
        <f t="shared" si="63"/>
        <v>12146.643521392005</v>
      </c>
      <c r="E1006">
        <f t="shared" si="60"/>
        <v>-1.1809867303631982E-2</v>
      </c>
      <c r="F1006" s="1">
        <f t="shared" si="61"/>
        <v>0.20031932732198432</v>
      </c>
    </row>
    <row r="1007" spans="1:6" x14ac:dyDescent="0.35">
      <c r="A1007" s="2">
        <v>45719</v>
      </c>
      <c r="B1007">
        <v>-3.636166167574199E-3</v>
      </c>
      <c r="C1007">
        <f t="shared" si="62"/>
        <v>11959.547667936908</v>
      </c>
      <c r="D1007">
        <f t="shared" si="63"/>
        <v>12146.643521392005</v>
      </c>
      <c r="E1007">
        <f t="shared" si="60"/>
        <v>-1.5403090831273225E-2</v>
      </c>
      <c r="F1007" s="1">
        <f t="shared" si="61"/>
        <v>0.19595476679369073</v>
      </c>
    </row>
    <row r="1008" spans="1:6" x14ac:dyDescent="0.35">
      <c r="A1008" s="2">
        <v>45720</v>
      </c>
      <c r="B1008">
        <v>-3.0434815522821421E-3</v>
      </c>
      <c r="C1008">
        <f t="shared" si="62"/>
        <v>11923.149005235902</v>
      </c>
      <c r="D1008">
        <f t="shared" si="63"/>
        <v>12146.643521392005</v>
      </c>
      <c r="E1008">
        <f t="shared" si="60"/>
        <v>-1.8399693360762304E-2</v>
      </c>
      <c r="F1008" s="1">
        <f t="shared" si="61"/>
        <v>0.19231490052359024</v>
      </c>
    </row>
    <row r="1009" spans="1:6" x14ac:dyDescent="0.35">
      <c r="A1009" s="2">
        <v>45721</v>
      </c>
      <c r="B1009">
        <v>6.8092317218917094E-3</v>
      </c>
      <c r="C1009">
        <f t="shared" si="62"/>
        <v>12004.336489667196</v>
      </c>
      <c r="D1009">
        <f t="shared" si="63"/>
        <v>12146.643521392005</v>
      </c>
      <c r="E1009">
        <f t="shared" si="60"/>
        <v>-1.171574941457576E-2</v>
      </c>
      <c r="F1009" s="1">
        <f t="shared" si="61"/>
        <v>0.20043364896671956</v>
      </c>
    </row>
    <row r="1010" spans="1:6" x14ac:dyDescent="0.35">
      <c r="A1010" s="2">
        <v>45722</v>
      </c>
      <c r="B1010">
        <v>-1.030554710183724E-2</v>
      </c>
      <c r="C1010">
        <f t="shared" si="62"/>
        <v>11880.625234546626</v>
      </c>
      <c r="D1010">
        <f t="shared" si="63"/>
        <v>12146.643521392005</v>
      </c>
      <c r="E1010">
        <f t="shared" si="60"/>
        <v>-2.1900559308987932E-2</v>
      </c>
      <c r="F1010" s="1">
        <f t="shared" si="61"/>
        <v>0.18806252345466246</v>
      </c>
    </row>
    <row r="1011" spans="1:6" x14ac:dyDescent="0.35">
      <c r="A1011" s="2">
        <v>45723</v>
      </c>
      <c r="B1011">
        <v>3.5371477946385581E-3</v>
      </c>
      <c r="C1011">
        <f t="shared" si="62"/>
        <v>11922.64876189393</v>
      </c>
      <c r="D1011">
        <f t="shared" si="63"/>
        <v>12146.643521392005</v>
      </c>
      <c r="E1011">
        <f t="shared" si="60"/>
        <v>-1.8440877029410441E-2</v>
      </c>
      <c r="F1011" s="1">
        <f t="shared" si="61"/>
        <v>0.19226487618939303</v>
      </c>
    </row>
    <row r="1012" spans="1:6" x14ac:dyDescent="0.35">
      <c r="A1012" s="2">
        <v>45726</v>
      </c>
      <c r="B1012">
        <v>-1.2139732306596551E-2</v>
      </c>
      <c r="C1012">
        <f t="shared" si="62"/>
        <v>11777.910997538962</v>
      </c>
      <c r="D1012">
        <f t="shared" si="63"/>
        <v>12146.643521392005</v>
      </c>
      <c r="E1012">
        <f t="shared" si="60"/>
        <v>-3.0356742025371197E-2</v>
      </c>
      <c r="F1012" s="1">
        <f t="shared" si="61"/>
        <v>0.17779109975389629</v>
      </c>
    </row>
    <row r="1013" spans="1:6" x14ac:dyDescent="0.35">
      <c r="A1013" s="2">
        <v>45727</v>
      </c>
      <c r="B1013">
        <v>-1.761939014290226E-3</v>
      </c>
      <c r="C1013">
        <f t="shared" si="62"/>
        <v>11757.15903664556</v>
      </c>
      <c r="D1013">
        <f t="shared" si="63"/>
        <v>12146.643521392005</v>
      </c>
      <c r="E1013">
        <f t="shared" si="60"/>
        <v>-3.2065194311540091E-2</v>
      </c>
      <c r="F1013" s="1">
        <f t="shared" si="61"/>
        <v>0.17571590366455592</v>
      </c>
    </row>
    <row r="1014" spans="1:6" x14ac:dyDescent="0.35">
      <c r="A1014" s="2">
        <v>45728</v>
      </c>
      <c r="B1014">
        <v>1.7917053635771499E-3</v>
      </c>
      <c r="C1014">
        <f t="shared" si="62"/>
        <v>11778.224401551948</v>
      </c>
      <c r="D1014">
        <f t="shared" si="63"/>
        <v>12146.643521392005</v>
      </c>
      <c r="E1014">
        <f t="shared" si="60"/>
        <v>-3.0330940328595069E-2</v>
      </c>
      <c r="F1014" s="1">
        <f t="shared" si="61"/>
        <v>0.17782244015519488</v>
      </c>
    </row>
    <row r="1015" spans="1:6" x14ac:dyDescent="0.35">
      <c r="A1015" s="2">
        <v>45729</v>
      </c>
      <c r="B1015">
        <v>-4.3507691775486329E-3</v>
      </c>
      <c r="C1015">
        <f t="shared" si="62"/>
        <v>11726.980065859425</v>
      </c>
      <c r="D1015">
        <f t="shared" si="63"/>
        <v>12146.643521392005</v>
      </c>
      <c r="E1015">
        <f t="shared" si="60"/>
        <v>-3.4549746585835983E-2</v>
      </c>
      <c r="F1015" s="1">
        <f t="shared" si="61"/>
        <v>0.17269800658594248</v>
      </c>
    </row>
    <row r="1016" spans="1:6" x14ac:dyDescent="0.35">
      <c r="A1016" s="2">
        <v>45730</v>
      </c>
      <c r="B1016">
        <v>1.057579513082612E-2</v>
      </c>
      <c r="C1016">
        <f t="shared" si="62"/>
        <v>11851.002204539236</v>
      </c>
      <c r="D1016">
        <f t="shared" si="63"/>
        <v>12146.643521392005</v>
      </c>
      <c r="E1016">
        <f t="shared" si="60"/>
        <v>-2.4339342496723648E-2</v>
      </c>
      <c r="F1016" s="1">
        <f t="shared" si="61"/>
        <v>0.1851002204539236</v>
      </c>
    </row>
    <row r="1017" spans="1:6" x14ac:dyDescent="0.35">
      <c r="A1017" s="2">
        <v>45733</v>
      </c>
      <c r="B1017">
        <v>7.8912081415941828E-3</v>
      </c>
      <c r="C1017">
        <f t="shared" si="62"/>
        <v>11944.520929621747</v>
      </c>
      <c r="D1017">
        <f t="shared" si="63"/>
        <v>12146.643521392005</v>
      </c>
      <c r="E1017">
        <f t="shared" si="60"/>
        <v>-1.6640201172800517E-2</v>
      </c>
      <c r="F1017" s="1">
        <f t="shared" si="61"/>
        <v>0.19445209296217469</v>
      </c>
    </row>
    <row r="1018" spans="1:6" x14ac:dyDescent="0.35">
      <c r="A1018" s="2">
        <v>45734</v>
      </c>
      <c r="B1018">
        <v>-2.8969550524613418E-3</v>
      </c>
      <c r="C1018">
        <f t="shared" si="62"/>
        <v>11909.91818936545</v>
      </c>
      <c r="D1018">
        <f t="shared" si="63"/>
        <v>12146.643521392005</v>
      </c>
      <c r="E1018">
        <f t="shared" si="60"/>
        <v>-1.9488950310400321E-2</v>
      </c>
      <c r="F1018" s="1">
        <f t="shared" si="61"/>
        <v>0.19099181893654493</v>
      </c>
    </row>
    <row r="1019" spans="1:6" x14ac:dyDescent="0.35">
      <c r="A1019" s="2">
        <v>45735</v>
      </c>
      <c r="B1019">
        <v>6.467224362879883E-3</v>
      </c>
      <c r="C1019">
        <f t="shared" si="62"/>
        <v>11986.94230243962</v>
      </c>
      <c r="D1019">
        <f t="shared" si="63"/>
        <v>12146.643521392005</v>
      </c>
      <c r="E1019">
        <f t="shared" si="60"/>
        <v>-1.3147765361774866E-2</v>
      </c>
      <c r="F1019" s="1">
        <f t="shared" si="61"/>
        <v>0.19869423024396204</v>
      </c>
    </row>
    <row r="1020" spans="1:6" x14ac:dyDescent="0.35">
      <c r="A1020" s="2">
        <v>45736</v>
      </c>
      <c r="B1020">
        <v>-2.5946706219881419E-3</v>
      </c>
      <c r="C1020">
        <f t="shared" si="62"/>
        <v>11955.840135400013</v>
      </c>
      <c r="D1020">
        <f t="shared" si="63"/>
        <v>12146.643521392005</v>
      </c>
      <c r="E1020">
        <f t="shared" si="60"/>
        <v>-1.5708321863234009E-2</v>
      </c>
      <c r="F1020" s="1">
        <f t="shared" si="61"/>
        <v>0.19558401354000132</v>
      </c>
    </row>
    <row r="1021" spans="1:6" x14ac:dyDescent="0.35">
      <c r="A1021" s="2">
        <v>45737</v>
      </c>
      <c r="B1021">
        <v>-4.0217822890622236E-3</v>
      </c>
      <c r="C1021">
        <f t="shared" si="62"/>
        <v>11907.756349292602</v>
      </c>
      <c r="D1021">
        <f t="shared" si="63"/>
        <v>12146.643521392005</v>
      </c>
      <c r="E1021">
        <f t="shared" si="60"/>
        <v>-1.9666928701635777E-2</v>
      </c>
      <c r="F1021" s="1">
        <f t="shared" si="61"/>
        <v>0.1907756349292602</v>
      </c>
    </row>
    <row r="1022" spans="1:6" x14ac:dyDescent="0.35">
      <c r="A1022" s="2">
        <v>45740</v>
      </c>
      <c r="B1022">
        <v>5.5166720561841253E-3</v>
      </c>
      <c r="C1022">
        <f t="shared" si="62"/>
        <v>11973.447535996593</v>
      </c>
      <c r="D1022">
        <f t="shared" si="63"/>
        <v>12146.643521392005</v>
      </c>
      <c r="E1022">
        <f t="shared" si="60"/>
        <v>-1.4258752641451045E-2</v>
      </c>
      <c r="F1022" s="1">
        <f t="shared" si="61"/>
        <v>0.19734475359965931</v>
      </c>
    </row>
    <row r="1023" spans="1:6" x14ac:dyDescent="0.35">
      <c r="A1023" s="2">
        <v>45741</v>
      </c>
      <c r="B1023">
        <v>1.4824206904691671E-4</v>
      </c>
      <c r="C1023">
        <f t="shared" si="62"/>
        <v>11975.222504632953</v>
      </c>
      <c r="D1023">
        <f t="shared" si="63"/>
        <v>12146.643521392005</v>
      </c>
      <c r="E1023">
        <f t="shared" si="60"/>
        <v>-1.4112624319397749E-2</v>
      </c>
      <c r="F1023" s="1">
        <f t="shared" si="61"/>
        <v>0.19752225046329541</v>
      </c>
    </row>
    <row r="1024" spans="1:6" x14ac:dyDescent="0.35">
      <c r="A1024" s="2">
        <v>45742</v>
      </c>
      <c r="B1024">
        <v>-6.2304121233151986E-3</v>
      </c>
      <c r="C1024">
        <f t="shared" si="62"/>
        <v>11900.611933160691</v>
      </c>
      <c r="D1024">
        <f t="shared" si="63"/>
        <v>12146.643521392005</v>
      </c>
      <c r="E1024">
        <f t="shared" si="60"/>
        <v>-2.0255108977061509E-2</v>
      </c>
      <c r="F1024" s="1">
        <f t="shared" si="61"/>
        <v>0.19006119331606919</v>
      </c>
    </row>
    <row r="1025" spans="1:6" x14ac:dyDescent="0.35">
      <c r="A1025" s="2">
        <v>45743</v>
      </c>
      <c r="B1025">
        <v>5.7959782561125058E-5</v>
      </c>
      <c r="C1025">
        <f t="shared" si="62"/>
        <v>11901.301690040682</v>
      </c>
      <c r="D1025">
        <f t="shared" si="63"/>
        <v>12146.643521392005</v>
      </c>
      <c r="E1025">
        <f t="shared" si="60"/>
        <v>-2.0198323176212507E-2</v>
      </c>
      <c r="F1025" s="1">
        <f t="shared" si="61"/>
        <v>0.19013016900406821</v>
      </c>
    </row>
    <row r="1026" spans="1:6" x14ac:dyDescent="0.35">
      <c r="A1026" s="2">
        <v>45744</v>
      </c>
      <c r="B1026">
        <v>-5.4353628266408001E-3</v>
      </c>
      <c r="C1026">
        <f t="shared" si="62"/>
        <v>11836.613797245996</v>
      </c>
      <c r="D1026">
        <f t="shared" si="63"/>
        <v>12146.643521392005</v>
      </c>
      <c r="E1026">
        <f t="shared" si="60"/>
        <v>-2.5523900787900899E-2</v>
      </c>
      <c r="F1026" s="1">
        <f t="shared" si="61"/>
        <v>0.18366137972459962</v>
      </c>
    </row>
    <row r="1027" spans="1:6" x14ac:dyDescent="0.35">
      <c r="A1027" s="2">
        <v>45747</v>
      </c>
      <c r="B1027">
        <v>3.7425369744373419E-3</v>
      </c>
      <c r="C1027">
        <f t="shared" si="62"/>
        <v>11880.912762034324</v>
      </c>
      <c r="D1027">
        <f t="shared" si="63"/>
        <v>12146.643521392005</v>
      </c>
      <c r="E1027">
        <f t="shared" ref="E1027:E1090" si="64">(C1027/D1027)-1</f>
        <v>-2.1876887955894153E-2</v>
      </c>
      <c r="F1027" s="1">
        <f t="shared" ref="F1027:F1090" si="65">C1027/$C$2-1</f>
        <v>0.18809127620343236</v>
      </c>
    </row>
    <row r="1028" spans="1:6" x14ac:dyDescent="0.35">
      <c r="A1028" s="2">
        <v>45748</v>
      </c>
      <c r="B1028">
        <v>2.7197423107545248E-3</v>
      </c>
      <c r="C1028">
        <f t="shared" ref="C1028:C1091" si="66">C1027*(1+B1028)</f>
        <v>11913.225783163613</v>
      </c>
      <c r="D1028">
        <f t="shared" ref="D1028:D1091" si="67">MAX(D1027,C1028)</f>
        <v>12146.643521392005</v>
      </c>
      <c r="E1028">
        <f t="shared" si="64"/>
        <v>-1.9216645142940969E-2</v>
      </c>
      <c r="F1028" s="1">
        <f t="shared" si="65"/>
        <v>0.19132257831636124</v>
      </c>
    </row>
    <row r="1029" spans="1:6" x14ac:dyDescent="0.35">
      <c r="A1029" s="2">
        <v>45749</v>
      </c>
      <c r="B1029">
        <v>4.1819746870075166E-3</v>
      </c>
      <c r="C1029">
        <f t="shared" si="66"/>
        <v>11963.046591829408</v>
      </c>
      <c r="D1029">
        <f t="shared" si="67"/>
        <v>12146.643521392005</v>
      </c>
      <c r="E1029">
        <f t="shared" si="64"/>
        <v>-1.5115033979490322E-2</v>
      </c>
      <c r="F1029" s="1">
        <f t="shared" si="65"/>
        <v>0.19630465918294093</v>
      </c>
    </row>
    <row r="1030" spans="1:6" x14ac:dyDescent="0.35">
      <c r="A1030" s="2">
        <v>45750</v>
      </c>
      <c r="B1030">
        <v>-2.3928935710185499E-2</v>
      </c>
      <c r="C1030">
        <f t="shared" si="66"/>
        <v>11676.783619035568</v>
      </c>
      <c r="D1030">
        <f t="shared" si="67"/>
        <v>12146.643521392005</v>
      </c>
      <c r="E1030">
        <f t="shared" si="64"/>
        <v>-3.8682283013323437E-2</v>
      </c>
      <c r="F1030" s="1">
        <f t="shared" si="65"/>
        <v>0.16767836190355689</v>
      </c>
    </row>
    <row r="1031" spans="1:6" x14ac:dyDescent="0.35">
      <c r="A1031" s="2">
        <v>45751</v>
      </c>
      <c r="B1031">
        <v>-3.2638439044184828E-2</v>
      </c>
      <c r="C1031">
        <f t="shared" si="66"/>
        <v>11295.671628653539</v>
      </c>
      <c r="D1031">
        <f t="shared" si="67"/>
        <v>12146.643521392005</v>
      </c>
      <c r="E1031">
        <f t="shared" si="64"/>
        <v>-7.0058192721287993E-2</v>
      </c>
      <c r="F1031" s="1">
        <f t="shared" si="65"/>
        <v>0.12956716286535386</v>
      </c>
    </row>
    <row r="1032" spans="1:6" x14ac:dyDescent="0.35">
      <c r="A1032" s="2">
        <v>45754</v>
      </c>
      <c r="B1032">
        <v>-1.694955492334943E-2</v>
      </c>
      <c r="C1032">
        <f t="shared" si="66"/>
        <v>11104.215021987557</v>
      </c>
      <c r="D1032">
        <f t="shared" si="67"/>
        <v>12146.643521392005</v>
      </c>
      <c r="E1032">
        <f t="shared" si="64"/>
        <v>-8.5820292459277359E-2</v>
      </c>
      <c r="F1032" s="1">
        <f t="shared" si="65"/>
        <v>0.11042150219875557</v>
      </c>
    </row>
    <row r="1033" spans="1:6" x14ac:dyDescent="0.35">
      <c r="A1033" s="2">
        <v>45755</v>
      </c>
      <c r="B1033">
        <v>-1.353078075206343E-2</v>
      </c>
      <c r="C1033">
        <f t="shared" si="66"/>
        <v>10953.966323101275</v>
      </c>
      <c r="D1033">
        <f t="shared" si="67"/>
        <v>12146.643521392005</v>
      </c>
      <c r="E1033">
        <f t="shared" si="64"/>
        <v>-9.8189857649996215E-2</v>
      </c>
      <c r="F1033" s="1">
        <f t="shared" si="65"/>
        <v>9.5396632310127405E-2</v>
      </c>
    </row>
    <row r="1034" spans="1:6" x14ac:dyDescent="0.35">
      <c r="A1034" s="2">
        <v>45756</v>
      </c>
      <c r="B1034">
        <v>5.2968886186094771E-2</v>
      </c>
      <c r="C1034">
        <f t="shared" si="66"/>
        <v>11534.185718555942</v>
      </c>
      <c r="D1034">
        <f t="shared" si="67"/>
        <v>12146.643521392005</v>
      </c>
      <c r="E1034">
        <f t="shared" si="64"/>
        <v>-5.0421978858392946E-2</v>
      </c>
      <c r="F1034" s="1">
        <f t="shared" si="65"/>
        <v>0.15341857185559427</v>
      </c>
    </row>
    <row r="1035" spans="1:6" x14ac:dyDescent="0.35">
      <c r="A1035" s="2">
        <v>45757</v>
      </c>
      <c r="B1035">
        <v>-2.0275647552766691E-2</v>
      </c>
      <c r="C1035">
        <f t="shared" si="66"/>
        <v>11300.322634118347</v>
      </c>
      <c r="D1035">
        <f t="shared" si="67"/>
        <v>12146.643521392005</v>
      </c>
      <c r="E1035">
        <f t="shared" si="64"/>
        <v>-6.9675288138913771E-2</v>
      </c>
      <c r="F1035" s="1">
        <f t="shared" si="65"/>
        <v>0.13003226341183471</v>
      </c>
    </row>
    <row r="1036" spans="1:6" x14ac:dyDescent="0.35">
      <c r="A1036" s="2">
        <v>45758</v>
      </c>
      <c r="B1036">
        <v>1.2978892001811571E-2</v>
      </c>
      <c r="C1036">
        <f t="shared" si="66"/>
        <v>11446.988301172194</v>
      </c>
      <c r="D1036">
        <f t="shared" si="67"/>
        <v>12146.643521392005</v>
      </c>
      <c r="E1036">
        <f t="shared" si="64"/>
        <v>-5.7600704177052431E-2</v>
      </c>
      <c r="F1036" s="1">
        <f t="shared" si="65"/>
        <v>0.1446988301172194</v>
      </c>
    </row>
    <row r="1037" spans="1:6" x14ac:dyDescent="0.35">
      <c r="A1037" s="2">
        <v>45761</v>
      </c>
      <c r="B1037">
        <v>7.4882051130672912E-3</v>
      </c>
      <c r="C1037">
        <f t="shared" si="66"/>
        <v>11532.705697498253</v>
      </c>
      <c r="D1037">
        <f t="shared" si="67"/>
        <v>12146.643521392005</v>
      </c>
      <c r="E1037">
        <f t="shared" si="64"/>
        <v>-5.0543824951519989E-2</v>
      </c>
      <c r="F1037" s="1">
        <f t="shared" si="65"/>
        <v>0.15327056974982534</v>
      </c>
    </row>
    <row r="1038" spans="1:6" x14ac:dyDescent="0.35">
      <c r="A1038" s="2">
        <v>45762</v>
      </c>
      <c r="B1038">
        <v>2.343977416528616E-3</v>
      </c>
      <c r="C1038">
        <f t="shared" si="66"/>
        <v>11559.73809920466</v>
      </c>
      <c r="D1038">
        <f t="shared" si="67"/>
        <v>12146.643521392005</v>
      </c>
      <c r="E1038">
        <f t="shared" si="64"/>
        <v>-4.831832111922274E-2</v>
      </c>
      <c r="F1038" s="1">
        <f t="shared" si="65"/>
        <v>0.15597380992046594</v>
      </c>
    </row>
    <row r="1039" spans="1:6" x14ac:dyDescent="0.35">
      <c r="A1039" s="2">
        <v>45763</v>
      </c>
      <c r="B1039">
        <v>-1.5963314225499829E-3</v>
      </c>
      <c r="C1039">
        <f t="shared" si="66"/>
        <v>11541.284926040451</v>
      </c>
      <c r="D1039">
        <f t="shared" si="67"/>
        <v>12146.643521392005</v>
      </c>
      <c r="E1039">
        <f t="shared" si="64"/>
        <v>-4.9837520487485243E-2</v>
      </c>
      <c r="F1039" s="1">
        <f t="shared" si="65"/>
        <v>0.15412849260404515</v>
      </c>
    </row>
    <row r="1040" spans="1:6" x14ac:dyDescent="0.35">
      <c r="A1040" s="2">
        <v>45764</v>
      </c>
      <c r="B1040">
        <v>3.4715266989193828E-3</v>
      </c>
      <c r="C1040">
        <f t="shared" si="66"/>
        <v>11581.350804801035</v>
      </c>
      <c r="D1040">
        <f t="shared" si="67"/>
        <v>12146.643521392005</v>
      </c>
      <c r="E1040">
        <f t="shared" si="64"/>
        <v>-4.6539006071546152E-2</v>
      </c>
      <c r="F1040" s="1">
        <f t="shared" si="65"/>
        <v>0.15813508048010361</v>
      </c>
    </row>
    <row r="1041" spans="1:6" x14ac:dyDescent="0.35">
      <c r="A1041" s="2">
        <v>45768</v>
      </c>
      <c r="B1041">
        <v>-9.3461372777950413E-3</v>
      </c>
      <c r="C1041">
        <f t="shared" si="66"/>
        <v>11473.109910317064</v>
      </c>
      <c r="D1041">
        <f t="shared" si="67"/>
        <v>12146.643521392005</v>
      </c>
      <c r="E1041">
        <f t="shared" si="64"/>
        <v>-5.5450183409824327E-2</v>
      </c>
      <c r="F1041" s="1">
        <f t="shared" si="65"/>
        <v>0.14731099103170631</v>
      </c>
    </row>
    <row r="1042" spans="1:6" x14ac:dyDescent="0.35">
      <c r="A1042" s="2">
        <v>45769</v>
      </c>
      <c r="B1042">
        <v>1.137383655763333E-2</v>
      </c>
      <c r="C1042">
        <f t="shared" si="66"/>
        <v>11603.603187244773</v>
      </c>
      <c r="D1042">
        <f t="shared" si="67"/>
        <v>12146.643521392005</v>
      </c>
      <c r="E1042">
        <f t="shared" si="64"/>
        <v>-4.4707028175385188E-2</v>
      </c>
      <c r="F1042" s="1">
        <f t="shared" si="65"/>
        <v>0.16036031872447731</v>
      </c>
    </row>
    <row r="1043" spans="1:6" x14ac:dyDescent="0.35">
      <c r="A1043" s="2">
        <v>45770</v>
      </c>
      <c r="B1043">
        <v>4.9267240555076926E-3</v>
      </c>
      <c r="C1043">
        <f t="shared" si="66"/>
        <v>11660.770938197938</v>
      </c>
      <c r="D1043">
        <f t="shared" si="67"/>
        <v>12146.643521392005</v>
      </c>
      <c r="E1043">
        <f t="shared" si="64"/>
        <v>-4.0000563311039294E-2</v>
      </c>
      <c r="F1043" s="1">
        <f t="shared" si="65"/>
        <v>0.16607709381979374</v>
      </c>
    </row>
    <row r="1044" spans="1:6" x14ac:dyDescent="0.35">
      <c r="A1044" s="2">
        <v>45771</v>
      </c>
      <c r="B1044">
        <v>1.304500193877069E-2</v>
      </c>
      <c r="C1044">
        <f t="shared" si="66"/>
        <v>11812.885717694291</v>
      </c>
      <c r="D1044">
        <f t="shared" si="67"/>
        <v>12146.643521392005</v>
      </c>
      <c r="E1044">
        <f t="shared" si="64"/>
        <v>-2.7477368798213053E-2</v>
      </c>
      <c r="F1044" s="1">
        <f t="shared" si="65"/>
        <v>0.18128857176942903</v>
      </c>
    </row>
    <row r="1045" spans="1:6" x14ac:dyDescent="0.35">
      <c r="A1045" s="2">
        <v>45772</v>
      </c>
      <c r="B1045">
        <v>2.278707423960441E-3</v>
      </c>
      <c r="C1045">
        <f t="shared" si="66"/>
        <v>11839.803828077598</v>
      </c>
      <c r="D1045">
        <f t="shared" si="67"/>
        <v>12146.643521392005</v>
      </c>
      <c r="E1045">
        <f t="shared" si="64"/>
        <v>-2.526127425852398E-2</v>
      </c>
      <c r="F1045" s="1">
        <f t="shared" si="65"/>
        <v>0.18398038280775975</v>
      </c>
    </row>
    <row r="1046" spans="1:6" x14ac:dyDescent="0.35">
      <c r="A1046" s="2">
        <v>45775</v>
      </c>
      <c r="B1046">
        <v>3.3940398470052912E-3</v>
      </c>
      <c r="C1046">
        <f t="shared" si="66"/>
        <v>11879.988594050821</v>
      </c>
      <c r="D1046">
        <f t="shared" si="67"/>
        <v>12146.643521392005</v>
      </c>
      <c r="E1046">
        <f t="shared" si="64"/>
        <v>-2.1952972182938124E-2</v>
      </c>
      <c r="F1046" s="1">
        <f t="shared" si="65"/>
        <v>0.1879988594050821</v>
      </c>
    </row>
    <row r="1047" spans="1:6" x14ac:dyDescent="0.35">
      <c r="A1047" s="2">
        <v>45776</v>
      </c>
      <c r="B1047">
        <v>1.94080194900075E-3</v>
      </c>
      <c r="C1047">
        <f t="shared" si="66"/>
        <v>11903.045299068262</v>
      </c>
      <c r="D1047">
        <f t="shared" si="67"/>
        <v>12146.643521392005</v>
      </c>
      <c r="E1047">
        <f t="shared" si="64"/>
        <v>-2.0054776605136326E-2</v>
      </c>
      <c r="F1047" s="1">
        <f t="shared" si="65"/>
        <v>0.19030452990682623</v>
      </c>
    </row>
    <row r="1048" spans="1:6" x14ac:dyDescent="0.35">
      <c r="A1048" s="2">
        <v>45777</v>
      </c>
      <c r="B1048">
        <v>-3.6477330427936491E-3</v>
      </c>
      <c r="C1048">
        <f t="shared" si="66"/>
        <v>11859.626167420982</v>
      </c>
      <c r="D1048">
        <f t="shared" si="67"/>
        <v>12146.643521392005</v>
      </c>
      <c r="E1048">
        <f t="shared" si="64"/>
        <v>-2.3629355176641553E-2</v>
      </c>
      <c r="F1048" s="1">
        <f t="shared" si="65"/>
        <v>0.18596261674209824</v>
      </c>
    </row>
    <row r="1049" spans="1:6" x14ac:dyDescent="0.35">
      <c r="A1049" s="2">
        <v>45778</v>
      </c>
      <c r="B1049">
        <v>-1.11121308874883E-4</v>
      </c>
      <c r="C1049">
        <f t="shared" si="66"/>
        <v>11858.30831023849</v>
      </c>
      <c r="D1049">
        <f t="shared" si="67"/>
        <v>12146.643521392005</v>
      </c>
      <c r="E1049">
        <f t="shared" si="64"/>
        <v>-2.3737850760641388E-2</v>
      </c>
      <c r="F1049" s="1">
        <f t="shared" si="65"/>
        <v>0.18583083102384901</v>
      </c>
    </row>
    <row r="1050" spans="1:6" x14ac:dyDescent="0.35">
      <c r="A1050" s="2">
        <v>45779</v>
      </c>
      <c r="B1050">
        <v>8.4526408578242153E-3</v>
      </c>
      <c r="C1050">
        <f t="shared" si="66"/>
        <v>11958.542331566288</v>
      </c>
      <c r="D1050">
        <f t="shared" si="67"/>
        <v>12146.643521392005</v>
      </c>
      <c r="E1050">
        <f t="shared" si="64"/>
        <v>-1.5485857430033501E-2</v>
      </c>
      <c r="F1050" s="1">
        <f t="shared" si="65"/>
        <v>0.19585423315662887</v>
      </c>
    </row>
    <row r="1051" spans="1:6" x14ac:dyDescent="0.35">
      <c r="A1051" s="2">
        <v>45782</v>
      </c>
      <c r="B1051">
        <v>2.2014947586474989E-4</v>
      </c>
      <c r="C1051">
        <f t="shared" si="66"/>
        <v>11961.174998392687</v>
      </c>
      <c r="D1051">
        <f t="shared" si="67"/>
        <v>12146.643521392005</v>
      </c>
      <c r="E1051">
        <f t="shared" si="64"/>
        <v>-1.5269117157565404E-2</v>
      </c>
      <c r="F1051" s="1">
        <f t="shared" si="65"/>
        <v>0.19611749983926874</v>
      </c>
    </row>
    <row r="1052" spans="1:6" x14ac:dyDescent="0.35">
      <c r="A1052" s="2">
        <v>45783</v>
      </c>
      <c r="B1052">
        <v>7.156317225315578E-4</v>
      </c>
      <c r="C1052">
        <f t="shared" si="66"/>
        <v>11969.734794660289</v>
      </c>
      <c r="D1052">
        <f t="shared" si="67"/>
        <v>12146.643521392005</v>
      </c>
      <c r="E1052">
        <f t="shared" si="64"/>
        <v>-1.4564412499646795E-2</v>
      </c>
      <c r="F1052" s="1">
        <f t="shared" si="65"/>
        <v>0.19697347946602894</v>
      </c>
    </row>
    <row r="1053" spans="1:6" x14ac:dyDescent="0.35">
      <c r="A1053" s="2">
        <v>45784</v>
      </c>
      <c r="B1053">
        <v>-1.6591940726667831E-3</v>
      </c>
      <c r="C1053">
        <f t="shared" si="66"/>
        <v>11949.874681637595</v>
      </c>
      <c r="D1053">
        <f t="shared" si="67"/>
        <v>12146.643521392005</v>
      </c>
      <c r="E1053">
        <f t="shared" si="64"/>
        <v>-1.6199441385422286E-2</v>
      </c>
      <c r="F1053" s="1">
        <f t="shared" si="65"/>
        <v>0.19498746816375956</v>
      </c>
    </row>
    <row r="1054" spans="1:6" x14ac:dyDescent="0.35">
      <c r="A1054" s="2">
        <v>45785</v>
      </c>
      <c r="B1054">
        <v>-2.1985756645275829E-4</v>
      </c>
      <c r="C1054">
        <f t="shared" si="66"/>
        <v>11947.247411270675</v>
      </c>
      <c r="D1054">
        <f t="shared" si="67"/>
        <v>12146.643521392005</v>
      </c>
      <c r="E1054">
        <f t="shared" si="64"/>
        <v>-1.6415737382114215E-2</v>
      </c>
      <c r="F1054" s="1">
        <f t="shared" si="65"/>
        <v>0.19472474112706739</v>
      </c>
    </row>
    <row r="1055" spans="1:6" x14ac:dyDescent="0.35">
      <c r="A1055" s="2">
        <v>45786</v>
      </c>
      <c r="B1055">
        <v>2.659657653835567E-3</v>
      </c>
      <c r="C1055">
        <f t="shared" si="66"/>
        <v>11979.022999290328</v>
      </c>
      <c r="D1055">
        <f t="shared" si="67"/>
        <v>12146.643521392005</v>
      </c>
      <c r="E1055">
        <f t="shared" si="64"/>
        <v>-1.37997399698504E-2</v>
      </c>
      <c r="F1055" s="1">
        <f t="shared" si="65"/>
        <v>0.19790229992903274</v>
      </c>
    </row>
    <row r="1056" spans="1:6" x14ac:dyDescent="0.35">
      <c r="A1056" s="2">
        <v>45789</v>
      </c>
      <c r="B1056">
        <v>9.4261099716502067E-3</v>
      </c>
      <c r="C1056">
        <f t="shared" si="66"/>
        <v>12091.938587434564</v>
      </c>
      <c r="D1056">
        <f t="shared" si="67"/>
        <v>12146.643521392005</v>
      </c>
      <c r="E1056">
        <f t="shared" si="64"/>
        <v>-4.503707864736195E-3</v>
      </c>
      <c r="F1056" s="1">
        <f t="shared" si="65"/>
        <v>0.20919385874345653</v>
      </c>
    </row>
    <row r="1057" spans="1:6" x14ac:dyDescent="0.35">
      <c r="A1057" s="2">
        <v>45790</v>
      </c>
      <c r="B1057">
        <v>2.7816051500449079E-3</v>
      </c>
      <c r="C1057">
        <f t="shared" si="66"/>
        <v>12125.573586083399</v>
      </c>
      <c r="D1057">
        <f t="shared" si="67"/>
        <v>12146.643521392005</v>
      </c>
      <c r="E1057">
        <f t="shared" si="64"/>
        <v>-1.7346302516821899E-3</v>
      </c>
      <c r="F1057" s="1">
        <f t="shared" si="65"/>
        <v>0.21255735860834002</v>
      </c>
    </row>
    <row r="1058" spans="1:6" x14ac:dyDescent="0.35">
      <c r="A1058" s="2">
        <v>45791</v>
      </c>
      <c r="B1058">
        <v>-4.4905684932414749E-3</v>
      </c>
      <c r="C1058">
        <f t="shared" si="66"/>
        <v>12071.122867375252</v>
      </c>
      <c r="D1058">
        <f t="shared" si="67"/>
        <v>12146.643521392005</v>
      </c>
      <c r="E1058">
        <f t="shared" si="64"/>
        <v>-6.2174092689679661E-3</v>
      </c>
      <c r="F1058" s="1">
        <f t="shared" si="65"/>
        <v>0.20711228673752524</v>
      </c>
    </row>
    <row r="1059" spans="1:6" x14ac:dyDescent="0.35">
      <c r="A1059" s="2">
        <v>45792</v>
      </c>
      <c r="B1059">
        <v>5.9861559477088844E-3</v>
      </c>
      <c r="C1059">
        <f t="shared" si="66"/>
        <v>12143.382491323315</v>
      </c>
      <c r="D1059">
        <f t="shared" si="67"/>
        <v>12146.643521392005</v>
      </c>
      <c r="E1059">
        <f t="shared" si="64"/>
        <v>-2.6847170273391896E-4</v>
      </c>
      <c r="F1059" s="1">
        <f t="shared" si="65"/>
        <v>0.21433824913233157</v>
      </c>
    </row>
    <row r="1060" spans="1:6" x14ac:dyDescent="0.35">
      <c r="A1060" s="2">
        <v>45793</v>
      </c>
      <c r="B1060">
        <v>1.93282784192055E-3</v>
      </c>
      <c r="C1060">
        <f t="shared" si="66"/>
        <v>12166.853559097635</v>
      </c>
      <c r="D1060">
        <f t="shared" si="67"/>
        <v>12166.853559097635</v>
      </c>
      <c r="E1060">
        <f t="shared" si="64"/>
        <v>0</v>
      </c>
      <c r="F1060" s="1">
        <f t="shared" si="65"/>
        <v>0.21668535590976346</v>
      </c>
    </row>
    <row r="1061" spans="1:6" x14ac:dyDescent="0.35">
      <c r="A1061" s="2">
        <v>45796</v>
      </c>
      <c r="B1061">
        <v>1.4485018583872179E-3</v>
      </c>
      <c r="C1061">
        <f t="shared" si="66"/>
        <v>12184.477269088713</v>
      </c>
      <c r="D1061">
        <f t="shared" si="67"/>
        <v>12184.477269088713</v>
      </c>
      <c r="E1061">
        <f t="shared" si="64"/>
        <v>0</v>
      </c>
      <c r="F1061" s="1">
        <f t="shared" si="65"/>
        <v>0.21844772690887138</v>
      </c>
    </row>
    <row r="1062" spans="1:6" x14ac:dyDescent="0.35">
      <c r="A1062" s="2">
        <v>45797</v>
      </c>
      <c r="B1062">
        <v>9.6844509664988348E-4</v>
      </c>
      <c r="C1062">
        <f t="shared" si="66"/>
        <v>12196.277266355204</v>
      </c>
      <c r="D1062">
        <f t="shared" si="67"/>
        <v>12196.277266355204</v>
      </c>
      <c r="E1062">
        <f t="shared" si="64"/>
        <v>0</v>
      </c>
      <c r="F1062" s="1">
        <f t="shared" si="65"/>
        <v>0.21962772663552044</v>
      </c>
    </row>
    <row r="1063" spans="1:6" x14ac:dyDescent="0.35">
      <c r="A1063" s="2">
        <v>45798</v>
      </c>
      <c r="B1063">
        <v>-1.0813825076865419E-2</v>
      </c>
      <c r="C1063">
        <f t="shared" si="66"/>
        <v>12064.388857407888</v>
      </c>
      <c r="D1063">
        <f t="shared" si="67"/>
        <v>12196.277266355204</v>
      </c>
      <c r="E1063">
        <f t="shared" si="64"/>
        <v>-1.0813825076865458E-2</v>
      </c>
      <c r="F1063" s="1">
        <f t="shared" si="65"/>
        <v>0.20643888574078884</v>
      </c>
    </row>
    <row r="1064" spans="1:6" x14ac:dyDescent="0.35">
      <c r="A1064" s="2">
        <v>45799</v>
      </c>
      <c r="B1064">
        <v>-3.3663756935152852E-4</v>
      </c>
      <c r="C1064">
        <f t="shared" si="66"/>
        <v>12060.327530867218</v>
      </c>
      <c r="D1064">
        <f t="shared" si="67"/>
        <v>12196.277266355204</v>
      </c>
      <c r="E1064">
        <f t="shared" si="64"/>
        <v>-1.1146822306427717E-2</v>
      </c>
      <c r="F1064" s="1">
        <f t="shared" si="65"/>
        <v>0.20603275308672186</v>
      </c>
    </row>
    <row r="1065" spans="1:6" x14ac:dyDescent="0.35">
      <c r="A1065" s="2">
        <v>45800</v>
      </c>
      <c r="B1065">
        <v>1.6566256544875749E-3</v>
      </c>
      <c r="C1065">
        <f t="shared" si="66"/>
        <v>12080.306978856377</v>
      </c>
      <c r="D1065">
        <f t="shared" si="67"/>
        <v>12196.277266355204</v>
      </c>
      <c r="E1065">
        <f t="shared" si="64"/>
        <v>-9.508662763738851E-3</v>
      </c>
      <c r="F1065" s="1">
        <f t="shared" si="65"/>
        <v>0.20803069788563766</v>
      </c>
    </row>
    <row r="1066" spans="1:6" x14ac:dyDescent="0.35">
      <c r="A1066" s="2">
        <v>45804</v>
      </c>
      <c r="B1066">
        <v>8.8922973702723826E-3</v>
      </c>
      <c r="C1066">
        <f t="shared" si="66"/>
        <v>12187.728660836543</v>
      </c>
      <c r="D1066">
        <f t="shared" si="67"/>
        <v>12196.277266355204</v>
      </c>
      <c r="E1066">
        <f t="shared" si="64"/>
        <v>-7.0091925035542513E-4</v>
      </c>
      <c r="F1066" s="1">
        <f t="shared" si="65"/>
        <v>0.21877286608365432</v>
      </c>
    </row>
    <row r="1067" spans="1:6" x14ac:dyDescent="0.35">
      <c r="A1067" s="2">
        <v>45805</v>
      </c>
      <c r="B1067">
        <v>-4.4631441881019243E-3</v>
      </c>
      <c r="C1067">
        <f t="shared" si="66"/>
        <v>12133.333070497767</v>
      </c>
      <c r="D1067">
        <f t="shared" si="67"/>
        <v>12196.277266355204</v>
      </c>
      <c r="E1067">
        <f t="shared" si="64"/>
        <v>-5.1609351347788879E-3</v>
      </c>
      <c r="F1067" s="1">
        <f t="shared" si="65"/>
        <v>0.21333330704977671</v>
      </c>
    </row>
    <row r="1068" spans="1:6" x14ac:dyDescent="0.35">
      <c r="A1068" s="2">
        <v>45806</v>
      </c>
      <c r="B1068">
        <v>3.8474730377646752E-3</v>
      </c>
      <c r="C1068">
        <f t="shared" si="66"/>
        <v>12180.015742344725</v>
      </c>
      <c r="D1068">
        <f t="shared" si="67"/>
        <v>12196.277266355204</v>
      </c>
      <c r="E1068">
        <f t="shared" si="64"/>
        <v>-1.3333186557948906E-3</v>
      </c>
      <c r="F1068" s="1">
        <f t="shared" si="65"/>
        <v>0.21800157423447253</v>
      </c>
    </row>
    <row r="1069" spans="1:6" x14ac:dyDescent="0.35">
      <c r="A1069" s="2">
        <v>45807</v>
      </c>
      <c r="B1069">
        <v>-2.034516390632317E-3</v>
      </c>
      <c r="C1069">
        <f t="shared" si="66"/>
        <v>12155.235300678765</v>
      </c>
      <c r="D1069">
        <f t="shared" si="67"/>
        <v>12196.277266355204</v>
      </c>
      <c r="E1069">
        <f t="shared" si="64"/>
        <v>-3.3651223877680936E-3</v>
      </c>
      <c r="F1069" s="1">
        <f t="shared" si="65"/>
        <v>0.21552353006787661</v>
      </c>
    </row>
    <row r="1070" spans="1:6" x14ac:dyDescent="0.35">
      <c r="A1070" s="2">
        <v>45810</v>
      </c>
      <c r="B1070">
        <v>5.6572117164327409E-3</v>
      </c>
      <c r="C1070">
        <f t="shared" si="66"/>
        <v>12224.000040237761</v>
      </c>
      <c r="D1070">
        <f t="shared" si="67"/>
        <v>12224.000040237761</v>
      </c>
      <c r="E1070">
        <f t="shared" si="64"/>
        <v>0</v>
      </c>
      <c r="F1070" s="1">
        <f t="shared" si="65"/>
        <v>0.22240000402377613</v>
      </c>
    </row>
    <row r="1071" spans="1:6" x14ac:dyDescent="0.35">
      <c r="A1071" s="2">
        <v>45811</v>
      </c>
      <c r="B1071">
        <v>1.651883862029125E-3</v>
      </c>
      <c r="C1071">
        <f t="shared" si="66"/>
        <v>12244.192668633674</v>
      </c>
      <c r="D1071">
        <f t="shared" si="67"/>
        <v>12244.192668633674</v>
      </c>
      <c r="E1071">
        <f t="shared" si="64"/>
        <v>0</v>
      </c>
      <c r="F1071" s="1">
        <f t="shared" si="65"/>
        <v>0.22441926686336733</v>
      </c>
    </row>
    <row r="1072" spans="1:6" x14ac:dyDescent="0.35">
      <c r="A1072" s="2">
        <v>45812</v>
      </c>
      <c r="B1072">
        <v>4.5718440273523082E-3</v>
      </c>
      <c r="C1072">
        <f t="shared" si="66"/>
        <v>12300.171207755518</v>
      </c>
      <c r="D1072">
        <f t="shared" si="67"/>
        <v>12300.171207755518</v>
      </c>
      <c r="E1072">
        <f t="shared" si="64"/>
        <v>0</v>
      </c>
      <c r="F1072" s="1">
        <f t="shared" si="65"/>
        <v>0.23001712077555192</v>
      </c>
    </row>
    <row r="1073" spans="1:6" x14ac:dyDescent="0.35">
      <c r="A1073" s="2">
        <v>45813</v>
      </c>
      <c r="B1073">
        <v>-1.338310619498967E-3</v>
      </c>
      <c r="C1073">
        <f t="shared" si="66"/>
        <v>12283.709758006524</v>
      </c>
      <c r="D1073">
        <f t="shared" si="67"/>
        <v>12300.171207755518</v>
      </c>
      <c r="E1073">
        <f t="shared" si="64"/>
        <v>-1.3383106194989614E-3</v>
      </c>
      <c r="F1073" s="1">
        <f t="shared" si="65"/>
        <v>0.22837097580065246</v>
      </c>
    </row>
    <row r="1074" spans="1:6" x14ac:dyDescent="0.35">
      <c r="A1074" s="2">
        <v>45814</v>
      </c>
      <c r="B1074">
        <v>1.2872738853758909E-3</v>
      </c>
      <c r="C1074">
        <f t="shared" si="66"/>
        <v>12299.522256793543</v>
      </c>
      <c r="D1074">
        <f t="shared" si="67"/>
        <v>12300.171207755518</v>
      </c>
      <c r="E1074">
        <f t="shared" si="64"/>
        <v>-5.2759506434019166E-5</v>
      </c>
      <c r="F1074" s="1">
        <f t="shared" si="65"/>
        <v>0.22995222567935425</v>
      </c>
    </row>
    <row r="1075" spans="1:6" x14ac:dyDescent="0.35">
      <c r="A1075" s="2">
        <v>45817</v>
      </c>
      <c r="B1075">
        <v>2.58538114113615E-3</v>
      </c>
      <c r="C1075">
        <f t="shared" si="66"/>
        <v>12331.32120968124</v>
      </c>
      <c r="D1075">
        <f t="shared" si="67"/>
        <v>12331.32120968124</v>
      </c>
      <c r="E1075">
        <f t="shared" si="64"/>
        <v>0</v>
      </c>
      <c r="F1075" s="1">
        <f t="shared" si="65"/>
        <v>0.23313212096812408</v>
      </c>
    </row>
    <row r="1076" spans="1:6" x14ac:dyDescent="0.35">
      <c r="A1076" s="2">
        <v>45818</v>
      </c>
      <c r="B1076">
        <v>3.5780343650452422E-3</v>
      </c>
      <c r="C1076">
        <f t="shared" si="66"/>
        <v>12375.443100735893</v>
      </c>
      <c r="D1076">
        <f t="shared" si="67"/>
        <v>12375.443100735893</v>
      </c>
      <c r="E1076">
        <f t="shared" si="64"/>
        <v>0</v>
      </c>
      <c r="F1076" s="1">
        <f t="shared" si="65"/>
        <v>0.23754431007358923</v>
      </c>
    </row>
    <row r="1077" spans="1:6" x14ac:dyDescent="0.35">
      <c r="A1077" s="2">
        <v>45819</v>
      </c>
      <c r="B1077">
        <v>1.5421836156817E-3</v>
      </c>
      <c r="C1077">
        <f t="shared" si="66"/>
        <v>12394.528306322649</v>
      </c>
      <c r="D1077">
        <f t="shared" si="67"/>
        <v>12394.528306322649</v>
      </c>
      <c r="E1077">
        <f t="shared" si="64"/>
        <v>0</v>
      </c>
      <c r="F1077" s="1">
        <f t="shared" si="65"/>
        <v>0.23945283063226497</v>
      </c>
    </row>
    <row r="1078" spans="1:6" x14ac:dyDescent="0.35">
      <c r="A1078" s="2">
        <v>45820</v>
      </c>
      <c r="B1078">
        <v>4.3339981142813001E-3</v>
      </c>
      <c r="C1078">
        <f t="shared" si="66"/>
        <v>12448.246168629657</v>
      </c>
      <c r="D1078">
        <f t="shared" si="67"/>
        <v>12448.246168629657</v>
      </c>
      <c r="E1078">
        <f t="shared" si="64"/>
        <v>0</v>
      </c>
      <c r="F1078" s="1">
        <f t="shared" si="65"/>
        <v>0.24482461686296575</v>
      </c>
    </row>
    <row r="1079" spans="1:6" x14ac:dyDescent="0.35">
      <c r="A1079" s="2">
        <v>45821</v>
      </c>
      <c r="B1079">
        <v>-4.8932729905796918E-3</v>
      </c>
      <c r="C1079">
        <f t="shared" si="66"/>
        <v>12387.333501872614</v>
      </c>
      <c r="D1079">
        <f t="shared" si="67"/>
        <v>12448.246168629657</v>
      </c>
      <c r="E1079">
        <f t="shared" si="64"/>
        <v>-4.8932729905797334E-3</v>
      </c>
      <c r="F1079" s="1">
        <f t="shared" si="65"/>
        <v>0.23873335018726149</v>
      </c>
    </row>
    <row r="1080" spans="1:6" x14ac:dyDescent="0.35">
      <c r="A1080" s="2">
        <v>45824</v>
      </c>
      <c r="B1080">
        <v>1.9041212295412659E-3</v>
      </c>
      <c r="C1080">
        <f t="shared" si="66"/>
        <v>12410.920486570936</v>
      </c>
      <c r="D1080">
        <f t="shared" si="67"/>
        <v>12448.246168629657</v>
      </c>
      <c r="E1080">
        <f t="shared" si="64"/>
        <v>-2.9984691460218649E-3</v>
      </c>
      <c r="F1080" s="1">
        <f t="shared" si="65"/>
        <v>0.24109204865709355</v>
      </c>
    </row>
    <row r="1081" spans="1:6" x14ac:dyDescent="0.35">
      <c r="A1081" s="2">
        <v>45825</v>
      </c>
      <c r="B1081">
        <v>-1.388506440132925E-3</v>
      </c>
      <c r="C1081">
        <f t="shared" si="66"/>
        <v>12393.687843547355</v>
      </c>
      <c r="D1081">
        <f t="shared" si="67"/>
        <v>12448.246168629657</v>
      </c>
      <c r="E1081">
        <f t="shared" si="64"/>
        <v>-4.3828121924349706E-3</v>
      </c>
      <c r="F1081" s="1">
        <f t="shared" si="65"/>
        <v>0.23936878435473563</v>
      </c>
    </row>
    <row r="1082" spans="1:6" x14ac:dyDescent="0.35">
      <c r="A1082" s="2">
        <v>45826</v>
      </c>
      <c r="B1082">
        <v>9.799528969029166E-4</v>
      </c>
      <c r="C1082">
        <f t="shared" si="66"/>
        <v>12405.833073852951</v>
      </c>
      <c r="D1082">
        <f t="shared" si="67"/>
        <v>12448.246168629657</v>
      </c>
      <c r="E1082">
        <f t="shared" si="64"/>
        <v>-3.4071542450365699E-3</v>
      </c>
      <c r="F1082" s="1">
        <f t="shared" si="65"/>
        <v>0.24058330738529521</v>
      </c>
    </row>
    <row r="1083" spans="1:6" x14ac:dyDescent="0.35">
      <c r="A1083" s="2">
        <v>45828</v>
      </c>
      <c r="B1083">
        <v>-1.3679856678741669E-3</v>
      </c>
      <c r="C1083">
        <f t="shared" si="66"/>
        <v>12388.862072009881</v>
      </c>
      <c r="D1083">
        <f t="shared" si="67"/>
        <v>12448.246168629657</v>
      </c>
      <c r="E1083">
        <f t="shared" si="64"/>
        <v>-4.7704789747352594E-3</v>
      </c>
      <c r="F1083" s="1">
        <f t="shared" si="65"/>
        <v>0.23888620720098808</v>
      </c>
    </row>
    <row r="1084" spans="1:6" x14ac:dyDescent="0.35">
      <c r="A1084" s="2">
        <v>45831</v>
      </c>
      <c r="B1084">
        <v>3.3623672814879751E-3</v>
      </c>
      <c r="C1084">
        <f t="shared" si="66"/>
        <v>12430.517976495674</v>
      </c>
      <c r="D1084">
        <f t="shared" si="67"/>
        <v>12448.246168629657</v>
      </c>
      <c r="E1084">
        <f t="shared" si="64"/>
        <v>-1.4241517956690153E-3</v>
      </c>
      <c r="F1084" s="1">
        <f t="shared" si="65"/>
        <v>0.24305179764956741</v>
      </c>
    </row>
    <row r="1085" spans="1:6" x14ac:dyDescent="0.35">
      <c r="A1085" s="2">
        <v>45832</v>
      </c>
      <c r="B1085">
        <v>4.8482074857976332E-3</v>
      </c>
      <c r="C1085">
        <f t="shared" si="66"/>
        <v>12490.783706801662</v>
      </c>
      <c r="D1085">
        <f t="shared" si="67"/>
        <v>12490.783706801662</v>
      </c>
      <c r="E1085">
        <f t="shared" si="64"/>
        <v>0</v>
      </c>
      <c r="F1085" s="1">
        <f t="shared" si="65"/>
        <v>0.24907837068016625</v>
      </c>
    </row>
    <row r="1086" spans="1:6" x14ac:dyDescent="0.35">
      <c r="A1086" s="2">
        <v>45833</v>
      </c>
      <c r="B1086">
        <v>-2.943462259572567E-3</v>
      </c>
      <c r="C1086">
        <f t="shared" si="66"/>
        <v>12454.017556368208</v>
      </c>
      <c r="D1086">
        <f t="shared" si="67"/>
        <v>12490.783706801662</v>
      </c>
      <c r="E1086">
        <f t="shared" si="64"/>
        <v>-2.9434622595725379E-3</v>
      </c>
      <c r="F1086" s="1">
        <f t="shared" si="65"/>
        <v>0.24540175563682087</v>
      </c>
    </row>
    <row r="1087" spans="1:6" x14ac:dyDescent="0.35">
      <c r="A1087" s="2">
        <v>45834</v>
      </c>
      <c r="B1087">
        <v>5.6699436834655248E-3</v>
      </c>
      <c r="C1087">
        <f t="shared" si="66"/>
        <v>12524.631134545707</v>
      </c>
      <c r="D1087">
        <f t="shared" si="67"/>
        <v>12524.631134545707</v>
      </c>
      <c r="E1087">
        <f t="shared" si="64"/>
        <v>0</v>
      </c>
      <c r="F1087" s="1">
        <f t="shared" si="65"/>
        <v>0.25246311345457073</v>
      </c>
    </row>
    <row r="1088" spans="1:6" x14ac:dyDescent="0.35">
      <c r="A1088" s="2">
        <v>45835</v>
      </c>
      <c r="B1088">
        <v>-1.4968812816549E-3</v>
      </c>
      <c r="C1088">
        <f t="shared" si="66"/>
        <v>12505.883248640774</v>
      </c>
      <c r="D1088">
        <f t="shared" si="67"/>
        <v>12524.631134545707</v>
      </c>
      <c r="E1088">
        <f t="shared" si="64"/>
        <v>-1.4968812816549271E-3</v>
      </c>
      <c r="F1088" s="1">
        <f t="shared" si="65"/>
        <v>0.25058832486407745</v>
      </c>
    </row>
    <row r="1089" spans="1:6" x14ac:dyDescent="0.35">
      <c r="A1089" s="2">
        <v>45838</v>
      </c>
      <c r="B1089">
        <v>4.8706438137517743E-3</v>
      </c>
      <c r="C1089">
        <f t="shared" si="66"/>
        <v>12566.794951521268</v>
      </c>
      <c r="D1089">
        <f t="shared" si="67"/>
        <v>12566.794951521268</v>
      </c>
      <c r="E1089">
        <f t="shared" si="64"/>
        <v>0</v>
      </c>
      <c r="F1089" s="1">
        <f t="shared" si="65"/>
        <v>0.25667949515212674</v>
      </c>
    </row>
    <row r="1090" spans="1:6" x14ac:dyDescent="0.35">
      <c r="A1090" s="2">
        <v>45839</v>
      </c>
      <c r="B1090">
        <v>2.0018077009918921E-3</v>
      </c>
      <c r="C1090">
        <f t="shared" si="66"/>
        <v>12591.951258432007</v>
      </c>
      <c r="D1090">
        <f t="shared" si="67"/>
        <v>12591.951258432007</v>
      </c>
      <c r="E1090">
        <f t="shared" si="64"/>
        <v>0</v>
      </c>
      <c r="F1090" s="1">
        <f t="shared" si="65"/>
        <v>0.25919512584320081</v>
      </c>
    </row>
    <row r="1091" spans="1:6" x14ac:dyDescent="0.35">
      <c r="A1091" s="2">
        <v>45840</v>
      </c>
      <c r="B1091">
        <v>4.1774712253701499E-3</v>
      </c>
      <c r="C1091">
        <f t="shared" si="66"/>
        <v>12644.553772485371</v>
      </c>
      <c r="D1091">
        <f t="shared" si="67"/>
        <v>12644.553772485371</v>
      </c>
      <c r="E1091">
        <f t="shared" ref="E1091:E1154" si="68">(C1091/D1091)-1</f>
        <v>0</v>
      </c>
      <c r="F1091" s="1">
        <f t="shared" ref="F1091:F1154" si="69">C1091/$C$2-1</f>
        <v>0.26445537724853718</v>
      </c>
    </row>
    <row r="1092" spans="1:6" x14ac:dyDescent="0.35">
      <c r="A1092" s="2">
        <v>45841</v>
      </c>
      <c r="B1092">
        <v>1.116790367113208E-3</v>
      </c>
      <c r="C1092">
        <f t="shared" ref="C1092:C1155" si="70">C1091*(1+B1092)</f>
        <v>12658.675088334929</v>
      </c>
      <c r="D1092">
        <f t="shared" ref="D1092:D1155" si="71">MAX(D1091,C1092)</f>
        <v>12658.675088334929</v>
      </c>
      <c r="E1092">
        <f t="shared" si="68"/>
        <v>0</v>
      </c>
      <c r="F1092" s="1">
        <f t="shared" si="69"/>
        <v>0.26586750883349297</v>
      </c>
    </row>
    <row r="1093" spans="1:6" x14ac:dyDescent="0.35">
      <c r="A1093" s="2">
        <v>45845</v>
      </c>
      <c r="B1093">
        <v>-7.1433066129748153E-3</v>
      </c>
      <c r="C1093">
        <f t="shared" si="70"/>
        <v>12568.250290864926</v>
      </c>
      <c r="D1093">
        <f t="shared" si="71"/>
        <v>12658.675088334929</v>
      </c>
      <c r="E1093">
        <f t="shared" si="68"/>
        <v>-7.143306612974798E-3</v>
      </c>
      <c r="F1093" s="1">
        <f t="shared" si="69"/>
        <v>0.25682502908649263</v>
      </c>
    </row>
    <row r="1094" spans="1:6" x14ac:dyDescent="0.35">
      <c r="A1094" s="2">
        <v>45846</v>
      </c>
      <c r="B1094">
        <v>3.971360635725001E-4</v>
      </c>
      <c r="C1094">
        <f t="shared" si="70"/>
        <v>12573.241596311433</v>
      </c>
      <c r="D1094">
        <f t="shared" si="71"/>
        <v>12658.675088334929</v>
      </c>
      <c r="E1094">
        <f t="shared" si="68"/>
        <v>-6.7490074140715839E-3</v>
      </c>
      <c r="F1094" s="1">
        <f t="shared" si="69"/>
        <v>0.2573241596311433</v>
      </c>
    </row>
    <row r="1095" spans="1:6" x14ac:dyDescent="0.35">
      <c r="A1095" s="2">
        <v>45847</v>
      </c>
      <c r="B1095">
        <v>4.7823386346389496E-3</v>
      </c>
      <c r="C1095">
        <f t="shared" si="70"/>
        <v>12633.371095360124</v>
      </c>
      <c r="D1095">
        <f t="shared" si="71"/>
        <v>12658.675088334929</v>
      </c>
      <c r="E1095">
        <f t="shared" si="68"/>
        <v>-1.9989448183342917E-3</v>
      </c>
      <c r="F1095" s="1">
        <f t="shared" si="69"/>
        <v>0.26333710953601241</v>
      </c>
    </row>
    <row r="1096" spans="1:6" x14ac:dyDescent="0.35">
      <c r="A1096" s="2">
        <v>45848</v>
      </c>
      <c r="B1096">
        <v>1.105141545521192E-3</v>
      </c>
      <c r="C1096">
        <f t="shared" si="70"/>
        <v>12647.332758617593</v>
      </c>
      <c r="D1096">
        <f t="shared" si="71"/>
        <v>12658.675088334929</v>
      </c>
      <c r="E1096">
        <f t="shared" si="68"/>
        <v>-8.9601238977909947E-4</v>
      </c>
      <c r="F1096" s="1">
        <f t="shared" si="69"/>
        <v>0.26473327586175932</v>
      </c>
    </row>
    <row r="1097" spans="1:6" x14ac:dyDescent="0.35">
      <c r="A1097" s="2">
        <v>45849</v>
      </c>
      <c r="B1097">
        <v>-2.9522562455704502E-3</v>
      </c>
      <c r="C1097">
        <f t="shared" si="70"/>
        <v>12609.994591491155</v>
      </c>
      <c r="D1097">
        <f t="shared" si="71"/>
        <v>12658.675088334929</v>
      </c>
      <c r="E1097">
        <f t="shared" si="68"/>
        <v>-3.8456233771757553E-3</v>
      </c>
      <c r="F1097" s="1">
        <f t="shared" si="69"/>
        <v>0.2609994591491156</v>
      </c>
    </row>
    <row r="1098" spans="1:6" x14ac:dyDescent="0.35">
      <c r="A1098" s="2">
        <v>45852</v>
      </c>
      <c r="B1098">
        <v>5.018136856238416E-4</v>
      </c>
      <c r="C1098">
        <f t="shared" si="70"/>
        <v>12616.322459352808</v>
      </c>
      <c r="D1098">
        <f t="shared" si="71"/>
        <v>12658.675088334929</v>
      </c>
      <c r="E1098">
        <f t="shared" si="68"/>
        <v>-3.3457394779923266E-3</v>
      </c>
      <c r="F1098" s="1">
        <f t="shared" si="69"/>
        <v>0.26163224593528089</v>
      </c>
    </row>
    <row r="1099" spans="1:6" x14ac:dyDescent="0.35">
      <c r="A1099" s="2">
        <v>45853</v>
      </c>
      <c r="B1099">
        <v>-5.3632055450750244E-3</v>
      </c>
      <c r="C1099">
        <f t="shared" si="70"/>
        <v>12548.658528780352</v>
      </c>
      <c r="D1099">
        <f t="shared" si="71"/>
        <v>12658.675088334929</v>
      </c>
      <c r="E1099">
        <f t="shared" si="68"/>
        <v>-8.6910011345466831E-3</v>
      </c>
      <c r="F1099" s="1">
        <f t="shared" si="69"/>
        <v>0.2548658528780352</v>
      </c>
    </row>
    <row r="1100" spans="1:6" x14ac:dyDescent="0.35">
      <c r="A1100" s="2">
        <v>45854</v>
      </c>
      <c r="B1100">
        <v>3.9497113823126406E-3</v>
      </c>
      <c r="C1100">
        <f t="shared" si="70"/>
        <v>12598.222108204229</v>
      </c>
      <c r="D1100">
        <f t="shared" si="71"/>
        <v>12658.675088334929</v>
      </c>
      <c r="E1100">
        <f t="shared" si="68"/>
        <v>-4.7756166983389248E-3</v>
      </c>
      <c r="F1100" s="1">
        <f t="shared" si="69"/>
        <v>0.25982221082042289</v>
      </c>
    </row>
    <row r="1101" spans="1:6" x14ac:dyDescent="0.35">
      <c r="A1101" s="2">
        <v>45855</v>
      </c>
      <c r="B1101">
        <v>3.608255056215834E-3</v>
      </c>
      <c r="C1101">
        <f t="shared" si="70"/>
        <v>12643.679706825485</v>
      </c>
      <c r="D1101">
        <f t="shared" si="71"/>
        <v>12658.675088334929</v>
      </c>
      <c r="E1101">
        <f t="shared" si="68"/>
        <v>-1.1845932852215801E-3</v>
      </c>
      <c r="F1101" s="1">
        <f t="shared" si="69"/>
        <v>0.26436797068254858</v>
      </c>
    </row>
    <row r="1102" spans="1:6" x14ac:dyDescent="0.35">
      <c r="A1102" s="2">
        <v>45856</v>
      </c>
      <c r="B1102">
        <v>1.3111746990799999E-5</v>
      </c>
      <c r="C1102">
        <f t="shared" si="70"/>
        <v>12643.845487554834</v>
      </c>
      <c r="D1102">
        <f t="shared" si="71"/>
        <v>12658.675088334929</v>
      </c>
      <c r="E1102">
        <f t="shared" si="68"/>
        <v>-1.1714970703181615E-3</v>
      </c>
      <c r="F1102" s="1">
        <f t="shared" si="69"/>
        <v>0.26438454875548345</v>
      </c>
    </row>
    <row r="1103" spans="1:6" x14ac:dyDescent="0.35">
      <c r="A1103" s="2">
        <v>45859</v>
      </c>
      <c r="B1103">
        <v>4.1497857690541672E-3</v>
      </c>
      <c r="C1103">
        <f t="shared" si="70"/>
        <v>12696.314737625209</v>
      </c>
      <c r="D1103">
        <f t="shared" si="71"/>
        <v>12696.314737625209</v>
      </c>
      <c r="E1103">
        <f t="shared" si="68"/>
        <v>0</v>
      </c>
      <c r="F1103" s="1">
        <f t="shared" si="69"/>
        <v>0.26963147376252095</v>
      </c>
    </row>
    <row r="1104" spans="1:6" x14ac:dyDescent="0.35">
      <c r="A1104" s="2">
        <v>45860</v>
      </c>
      <c r="B1104">
        <v>3.9416393175413997E-3</v>
      </c>
      <c r="C1104">
        <f t="shared" si="70"/>
        <v>12746.359030982912</v>
      </c>
      <c r="D1104">
        <f t="shared" si="71"/>
        <v>12746.359030982912</v>
      </c>
      <c r="E1104">
        <f t="shared" si="68"/>
        <v>0</v>
      </c>
      <c r="F1104" s="1">
        <f t="shared" si="69"/>
        <v>0.27463590309829122</v>
      </c>
    </row>
    <row r="1105" spans="1:6" x14ac:dyDescent="0.35">
      <c r="A1105" s="2">
        <v>45861</v>
      </c>
      <c r="B1105">
        <v>3.333826096809133E-3</v>
      </c>
      <c r="C1105">
        <f t="shared" si="70"/>
        <v>12788.853175359704</v>
      </c>
      <c r="D1105">
        <f t="shared" si="71"/>
        <v>12788.853175359704</v>
      </c>
      <c r="E1105">
        <f t="shared" si="68"/>
        <v>0</v>
      </c>
      <c r="F1105" s="1">
        <f t="shared" si="69"/>
        <v>0.27888531753597046</v>
      </c>
    </row>
    <row r="1106" spans="1:6" x14ac:dyDescent="0.35">
      <c r="A1106" s="2">
        <v>45862</v>
      </c>
      <c r="B1106">
        <v>-3.235047968930059E-3</v>
      </c>
      <c r="C1106">
        <f t="shared" si="70"/>
        <v>12747.480621869812</v>
      </c>
      <c r="D1106">
        <f t="shared" si="71"/>
        <v>12788.853175359704</v>
      </c>
      <c r="E1106">
        <f t="shared" si="68"/>
        <v>-3.2350479689300382E-3</v>
      </c>
      <c r="F1106" s="1">
        <f t="shared" si="69"/>
        <v>0.27474806218698133</v>
      </c>
    </row>
    <row r="1107" spans="1:6" x14ac:dyDescent="0.35">
      <c r="A1107" s="2">
        <v>45863</v>
      </c>
      <c r="B1107">
        <v>-6.9830135641991671E-5</v>
      </c>
      <c r="C1107">
        <f t="shared" si="70"/>
        <v>12746.590463568893</v>
      </c>
      <c r="D1107">
        <f t="shared" si="71"/>
        <v>12788.853175359704</v>
      </c>
      <c r="E1107">
        <f t="shared" si="68"/>
        <v>-3.3046522007335044E-3</v>
      </c>
      <c r="F1107" s="1">
        <f t="shared" si="69"/>
        <v>0.2746590463568892</v>
      </c>
    </row>
    <row r="1108" spans="1:6" x14ac:dyDescent="0.35">
      <c r="A1108" s="2">
        <v>45866</v>
      </c>
      <c r="B1108">
        <v>-3.697830929102675E-3</v>
      </c>
      <c r="C1108">
        <f t="shared" si="70"/>
        <v>12699.455727112103</v>
      </c>
      <c r="D1108">
        <f t="shared" si="71"/>
        <v>12788.853175359704</v>
      </c>
      <c r="E1108">
        <f t="shared" si="68"/>
        <v>-6.9902630847183955E-3</v>
      </c>
      <c r="F1108" s="1">
        <f t="shared" si="69"/>
        <v>0.26994557271121034</v>
      </c>
    </row>
    <row r="1109" spans="1:6" x14ac:dyDescent="0.35">
      <c r="A1109" s="2">
        <v>45867</v>
      </c>
      <c r="B1109">
        <v>4.1892752789470236E-3</v>
      </c>
      <c r="C1109">
        <f t="shared" si="70"/>
        <v>12752.657243045775</v>
      </c>
      <c r="D1109">
        <f t="shared" si="71"/>
        <v>12788.853175359704</v>
      </c>
      <c r="E1109">
        <f t="shared" si="68"/>
        <v>-2.8302719421056111E-3</v>
      </c>
      <c r="F1109" s="1">
        <f t="shared" si="69"/>
        <v>0.27526572430457752</v>
      </c>
    </row>
    <row r="1110" spans="1:6" x14ac:dyDescent="0.35">
      <c r="A1110" s="2">
        <v>45868</v>
      </c>
      <c r="B1110">
        <v>-5.6352856038688996E-3</v>
      </c>
      <c r="C1110">
        <f t="shared" si="70"/>
        <v>12680.792377272963</v>
      </c>
      <c r="D1110">
        <f t="shared" si="71"/>
        <v>12788.853175359704</v>
      </c>
      <c r="E1110">
        <f t="shared" si="68"/>
        <v>-8.4496081552442037E-3</v>
      </c>
      <c r="F1110" s="1">
        <f t="shared" si="69"/>
        <v>0.26807923772729625</v>
      </c>
    </row>
    <row r="1111" spans="1:6" x14ac:dyDescent="0.35">
      <c r="A1111" s="2">
        <v>45869</v>
      </c>
      <c r="B1111">
        <v>-4.0660815559901749E-3</v>
      </c>
      <c r="C1111">
        <f t="shared" si="70"/>
        <v>12629.231241272391</v>
      </c>
      <c r="D1111">
        <f t="shared" si="71"/>
        <v>12788.853175359704</v>
      </c>
      <c r="E1111">
        <f t="shared" si="68"/>
        <v>-1.2481332915359133E-2</v>
      </c>
      <c r="F1111" s="1">
        <f t="shared" si="69"/>
        <v>0.26292312412723917</v>
      </c>
    </row>
    <row r="1112" spans="1:6" x14ac:dyDescent="0.35">
      <c r="A1112" s="2">
        <v>45870</v>
      </c>
      <c r="B1112">
        <v>-2.504904472928237E-3</v>
      </c>
      <c r="C1112">
        <f t="shared" si="70"/>
        <v>12597.596223446482</v>
      </c>
      <c r="D1112">
        <f t="shared" si="71"/>
        <v>12788.853175359704</v>
      </c>
      <c r="E1112">
        <f t="shared" si="68"/>
        <v>-1.4954972841639602E-2</v>
      </c>
      <c r="F1112" s="1">
        <f t="shared" si="69"/>
        <v>0.25975962234464833</v>
      </c>
    </row>
    <row r="1113" spans="1:6" x14ac:dyDescent="0.35">
      <c r="A1113" s="2">
        <v>45873</v>
      </c>
      <c r="B1113">
        <v>8.4442104051155823E-3</v>
      </c>
      <c r="C1113">
        <f t="shared" si="70"/>
        <v>12703.972976555955</v>
      </c>
      <c r="D1113">
        <f t="shared" si="71"/>
        <v>12788.853175359704</v>
      </c>
      <c r="E1113">
        <f t="shared" si="68"/>
        <v>-6.6370453738016089E-3</v>
      </c>
      <c r="F1113" s="1">
        <f t="shared" si="69"/>
        <v>0.2703972976555955</v>
      </c>
    </row>
    <row r="1114" spans="1:6" x14ac:dyDescent="0.35">
      <c r="A1114" s="2">
        <v>45874</v>
      </c>
      <c r="B1114">
        <v>-3.9163781405006658E-4</v>
      </c>
      <c r="C1114">
        <f t="shared" si="70"/>
        <v>12698.997620349666</v>
      </c>
      <c r="D1114">
        <f t="shared" si="71"/>
        <v>12788.853175359704</v>
      </c>
      <c r="E1114">
        <f t="shared" si="68"/>
        <v>-7.0260838699096606E-3</v>
      </c>
      <c r="F1114" s="1">
        <f t="shared" si="69"/>
        <v>0.26989976203496657</v>
      </c>
    </row>
    <row r="1115" spans="1:6" x14ac:dyDescent="0.35">
      <c r="A1115" s="2">
        <v>45875</v>
      </c>
      <c r="B1115">
        <v>1.0205916595439251E-3</v>
      </c>
      <c r="C1115">
        <f t="shared" si="70"/>
        <v>12711.958111405562</v>
      </c>
      <c r="D1115">
        <f t="shared" si="71"/>
        <v>12788.853175359704</v>
      </c>
      <c r="E1115">
        <f t="shared" si="68"/>
        <v>-6.0126629729626568E-3</v>
      </c>
      <c r="F1115" s="1">
        <f t="shared" si="69"/>
        <v>0.27119581114055613</v>
      </c>
    </row>
    <row r="1116" spans="1:6" x14ac:dyDescent="0.35">
      <c r="A1116" s="2">
        <v>45876</v>
      </c>
      <c r="B1116">
        <v>2.2286818687391251E-3</v>
      </c>
      <c r="C1116">
        <f t="shared" si="70"/>
        <v>12740.289021964623</v>
      </c>
      <c r="D1116">
        <f t="shared" si="71"/>
        <v>12788.853175359704</v>
      </c>
      <c r="E1116">
        <f t="shared" si="68"/>
        <v>-3.7973814171742282E-3</v>
      </c>
      <c r="F1116" s="1">
        <f t="shared" si="69"/>
        <v>0.27402890219646237</v>
      </c>
    </row>
    <row r="1117" spans="1:6" x14ac:dyDescent="0.35">
      <c r="A1117" s="2">
        <v>45877</v>
      </c>
      <c r="B1117">
        <v>5.3836186728271657E-4</v>
      </c>
      <c r="C1117">
        <f t="shared" si="70"/>
        <v>12747.147907752209</v>
      </c>
      <c r="D1117">
        <f t="shared" si="71"/>
        <v>12788.853175359704</v>
      </c>
      <c r="E1117">
        <f t="shared" si="68"/>
        <v>-3.2610639152420573E-3</v>
      </c>
      <c r="F1117" s="1">
        <f t="shared" si="69"/>
        <v>0.27471479077522098</v>
      </c>
    </row>
    <row r="1118" spans="1:6" x14ac:dyDescent="0.35">
      <c r="A1118" s="2">
        <v>45880</v>
      </c>
      <c r="B1118">
        <v>-2.4010044163354249E-3</v>
      </c>
      <c r="C1118">
        <f t="shared" si="70"/>
        <v>12716.541949330016</v>
      </c>
      <c r="D1118">
        <f t="shared" si="71"/>
        <v>12788.853175359704</v>
      </c>
      <c r="E1118">
        <f t="shared" si="68"/>
        <v>-5.6542385027149589E-3</v>
      </c>
      <c r="F1118" s="1">
        <f t="shared" si="69"/>
        <v>0.27165419493300158</v>
      </c>
    </row>
    <row r="1119" spans="1:6" x14ac:dyDescent="0.35">
      <c r="A1119" s="2">
        <v>45881</v>
      </c>
      <c r="B1119">
        <v>6.320081507001891E-3</v>
      </c>
      <c r="C1119">
        <f t="shared" si="70"/>
        <v>12796.91153093699</v>
      </c>
      <c r="D1119">
        <f t="shared" si="71"/>
        <v>12796.91153093699</v>
      </c>
      <c r="E1119">
        <f t="shared" si="68"/>
        <v>0</v>
      </c>
      <c r="F1119" s="1">
        <f t="shared" si="69"/>
        <v>0.27969115309369896</v>
      </c>
    </row>
    <row r="1120" spans="1:6" x14ac:dyDescent="0.35">
      <c r="A1120" s="2">
        <v>45882</v>
      </c>
      <c r="B1120">
        <v>6.0145199398960996E-3</v>
      </c>
      <c r="C1120">
        <f t="shared" si="70"/>
        <v>12873.878810508895</v>
      </c>
      <c r="D1120">
        <f t="shared" si="71"/>
        <v>12873.878810508895</v>
      </c>
      <c r="E1120">
        <f t="shared" si="68"/>
        <v>0</v>
      </c>
      <c r="F1120" s="1">
        <f t="shared" si="69"/>
        <v>0.28738788105088942</v>
      </c>
    </row>
    <row r="1121" spans="1:6" x14ac:dyDescent="0.35">
      <c r="A1121" s="2">
        <v>45883</v>
      </c>
      <c r="B1121">
        <v>-4.3141685425518049E-3</v>
      </c>
      <c r="C1121">
        <f t="shared" si="70"/>
        <v>12818.338727523973</v>
      </c>
      <c r="D1121">
        <f t="shared" si="71"/>
        <v>12873.878810508895</v>
      </c>
      <c r="E1121">
        <f t="shared" si="68"/>
        <v>-4.3141685425518439E-3</v>
      </c>
      <c r="F1121" s="1">
        <f t="shared" si="69"/>
        <v>0.28183387275239724</v>
      </c>
    </row>
    <row r="1122" spans="1:6" x14ac:dyDescent="0.35">
      <c r="A1122" s="2">
        <v>45884</v>
      </c>
      <c r="B1122">
        <v>-9.2086764516477492E-4</v>
      </c>
      <c r="C1122">
        <f t="shared" si="70"/>
        <v>12806.534734125034</v>
      </c>
      <c r="D1122">
        <f t="shared" si="71"/>
        <v>12873.878810508895</v>
      </c>
      <c r="E1122">
        <f t="shared" si="68"/>
        <v>-5.2310634094899777E-3</v>
      </c>
      <c r="F1122" s="1">
        <f t="shared" si="69"/>
        <v>0.28065347341250346</v>
      </c>
    </row>
    <row r="1123" spans="1:6" x14ac:dyDescent="0.35">
      <c r="A1123" s="2">
        <v>45887</v>
      </c>
      <c r="B1123">
        <v>-6.4704001392028321E-4</v>
      </c>
      <c r="C1123">
        <f t="shared" si="70"/>
        <v>12798.248393712396</v>
      </c>
      <c r="D1123">
        <f t="shared" si="71"/>
        <v>12873.878810508895</v>
      </c>
      <c r="E1123">
        <f t="shared" si="68"/>
        <v>-5.8747187160688163E-3</v>
      </c>
      <c r="F1123" s="1">
        <f t="shared" si="69"/>
        <v>0.2798248393712397</v>
      </c>
    </row>
    <row r="1124" spans="1:6" x14ac:dyDescent="0.35">
      <c r="A1124" s="2">
        <v>45888</v>
      </c>
      <c r="B1124">
        <v>-1.7633469271318329E-3</v>
      </c>
      <c r="C1124">
        <f t="shared" si="70"/>
        <v>12775.680641734672</v>
      </c>
      <c r="D1124">
        <f t="shared" si="71"/>
        <v>12873.878810508895</v>
      </c>
      <c r="E1124">
        <f t="shared" si="68"/>
        <v>-7.6277064760050806E-3</v>
      </c>
      <c r="F1124" s="1">
        <f t="shared" si="69"/>
        <v>0.27756806417346724</v>
      </c>
    </row>
    <row r="1125" spans="1:6" x14ac:dyDescent="0.35">
      <c r="A1125" s="2">
        <v>45889</v>
      </c>
      <c r="B1125">
        <v>1.490677985779208E-3</v>
      </c>
      <c r="C1125">
        <f t="shared" si="70"/>
        <v>12794.725067620653</v>
      </c>
      <c r="D1125">
        <f t="shared" si="71"/>
        <v>12873.878810508895</v>
      </c>
      <c r="E1125">
        <f t="shared" si="68"/>
        <v>-6.1483989443514853E-3</v>
      </c>
      <c r="F1125" s="1">
        <f t="shared" si="69"/>
        <v>0.27947250676206536</v>
      </c>
    </row>
    <row r="1126" spans="1:6" x14ac:dyDescent="0.35">
      <c r="A1126" s="2">
        <v>45890</v>
      </c>
      <c r="B1126">
        <v>-2.393318279583191E-3</v>
      </c>
      <c r="C1126">
        <f t="shared" si="70"/>
        <v>12764.103218234075</v>
      </c>
      <c r="D1126">
        <f t="shared" si="71"/>
        <v>12873.878810508895</v>
      </c>
      <c r="E1126">
        <f t="shared" si="68"/>
        <v>-8.5270021483510039E-3</v>
      </c>
      <c r="F1126" s="1">
        <f t="shared" si="69"/>
        <v>0.27641032182340752</v>
      </c>
    </row>
    <row r="1127" spans="1:6" x14ac:dyDescent="0.35">
      <c r="A1127" s="2">
        <v>45891</v>
      </c>
      <c r="B1127">
        <v>1.4004488030045109E-2</v>
      </c>
      <c r="C1127">
        <f t="shared" si="70"/>
        <v>12942.857948968096</v>
      </c>
      <c r="D1127">
        <f t="shared" si="71"/>
        <v>12942.857948968096</v>
      </c>
      <c r="E1127">
        <f t="shared" si="68"/>
        <v>0</v>
      </c>
      <c r="F1127" s="1">
        <f t="shared" si="69"/>
        <v>0.29428579489680962</v>
      </c>
    </row>
    <row r="1128" spans="1:6" x14ac:dyDescent="0.35">
      <c r="A1128" s="2">
        <v>45894</v>
      </c>
      <c r="B1128">
        <v>-4.1144861138954084E-3</v>
      </c>
      <c r="C1128">
        <f t="shared" si="70"/>
        <v>12889.604739662946</v>
      </c>
      <c r="D1128">
        <f t="shared" si="71"/>
        <v>12942.857948968096</v>
      </c>
      <c r="E1128">
        <f t="shared" si="68"/>
        <v>-4.1144861138954214E-3</v>
      </c>
      <c r="F1128" s="1">
        <f t="shared" si="69"/>
        <v>0.28896047396629454</v>
      </c>
    </row>
    <row r="1129" spans="1:6" x14ac:dyDescent="0.35">
      <c r="A1129" s="2">
        <v>45895</v>
      </c>
      <c r="B1129">
        <v>1.231375950973641E-3</v>
      </c>
      <c r="C1129">
        <f t="shared" si="70"/>
        <v>12905.476688956922</v>
      </c>
      <c r="D1129">
        <f t="shared" si="71"/>
        <v>12942.857948968096</v>
      </c>
      <c r="E1129">
        <f t="shared" si="68"/>
        <v>-2.8881766421731125E-3</v>
      </c>
      <c r="F1129" s="1">
        <f t="shared" si="69"/>
        <v>0.29054766889569228</v>
      </c>
    </row>
    <row r="1130" spans="1:6" x14ac:dyDescent="0.35">
      <c r="A1130" s="2">
        <v>45896</v>
      </c>
      <c r="B1130">
        <v>1.1683773624795329E-3</v>
      </c>
      <c r="C1130">
        <f t="shared" si="70"/>
        <v>12920.555155772307</v>
      </c>
      <c r="D1130">
        <f t="shared" si="71"/>
        <v>12942.857948968096</v>
      </c>
      <c r="E1130">
        <f t="shared" si="68"/>
        <v>-1.7231737599011643E-3</v>
      </c>
      <c r="F1130" s="1">
        <f t="shared" si="69"/>
        <v>0.29205551557723064</v>
      </c>
    </row>
    <row r="1131" spans="1:6" x14ac:dyDescent="0.35">
      <c r="A1131" s="2">
        <v>45897</v>
      </c>
      <c r="B1131">
        <v>3.381139578449383E-3</v>
      </c>
      <c r="C1131">
        <f t="shared" si="70"/>
        <v>12964.241356185026</v>
      </c>
      <c r="D1131">
        <f t="shared" si="71"/>
        <v>12964.241356185026</v>
      </c>
      <c r="E1131">
        <f t="shared" si="68"/>
        <v>0</v>
      </c>
      <c r="F1131" s="1">
        <f t="shared" si="69"/>
        <v>0.29642413561850267</v>
      </c>
    </row>
    <row r="1132" spans="1:6" x14ac:dyDescent="0.35">
      <c r="A1132" s="2">
        <v>45898</v>
      </c>
      <c r="B1132">
        <v>-2.4676184713540079E-3</v>
      </c>
      <c r="C1132">
        <f t="shared" si="70"/>
        <v>12932.250554747412</v>
      </c>
      <c r="D1132">
        <f t="shared" si="71"/>
        <v>12964.241356185026</v>
      </c>
      <c r="E1132">
        <f t="shared" si="68"/>
        <v>-2.4676184713540161E-3</v>
      </c>
      <c r="F1132" s="1">
        <f t="shared" si="69"/>
        <v>0.29322505547474109</v>
      </c>
    </row>
    <row r="1133" spans="1:6" x14ac:dyDescent="0.35">
      <c r="A1133" s="2">
        <v>45902</v>
      </c>
      <c r="B1133">
        <v>-1.9515610166777259E-3</v>
      </c>
      <c r="C1133">
        <f t="shared" si="70"/>
        <v>12907.012478706858</v>
      </c>
      <c r="D1133">
        <f t="shared" si="71"/>
        <v>12964.241356185026</v>
      </c>
      <c r="E1133">
        <f t="shared" si="68"/>
        <v>-4.4143637800190261E-3</v>
      </c>
      <c r="F1133" s="1">
        <f t="shared" si="69"/>
        <v>0.29070124787068585</v>
      </c>
    </row>
    <row r="1134" spans="1:6" x14ac:dyDescent="0.35">
      <c r="A1134" s="2">
        <v>45903</v>
      </c>
      <c r="B1134">
        <v>3.359440627474741E-3</v>
      </c>
      <c r="C1134">
        <f t="shared" si="70"/>
        <v>12950.37282080715</v>
      </c>
      <c r="D1134">
        <f t="shared" si="71"/>
        <v>12964.241356185026</v>
      </c>
      <c r="E1134">
        <f t="shared" si="68"/>
        <v>-1.0697529455713228E-3</v>
      </c>
      <c r="F1134" s="1">
        <f t="shared" si="69"/>
        <v>0.295037282080715</v>
      </c>
    </row>
    <row r="1135" spans="1:6" x14ac:dyDescent="0.35">
      <c r="A1135" s="2">
        <v>45904</v>
      </c>
      <c r="B1135">
        <v>4.2980431657057751E-3</v>
      </c>
      <c r="C1135">
        <f t="shared" si="70"/>
        <v>13006.034082202963</v>
      </c>
      <c r="D1135">
        <f t="shared" si="71"/>
        <v>13006.034082202963</v>
      </c>
      <c r="E1135">
        <f t="shared" si="68"/>
        <v>0</v>
      </c>
      <c r="F1135" s="1">
        <f t="shared" si="69"/>
        <v>0.30060340822029619</v>
      </c>
    </row>
    <row r="1136" spans="1:6" x14ac:dyDescent="0.35">
      <c r="A1136" s="2">
        <v>45905</v>
      </c>
      <c r="B1136">
        <v>5.3086340065469743E-3</v>
      </c>
      <c r="C1136">
        <f t="shared" si="70"/>
        <v>13075.078357022054</v>
      </c>
      <c r="D1136">
        <f t="shared" si="71"/>
        <v>13075.078357022054</v>
      </c>
      <c r="E1136">
        <f t="shared" si="68"/>
        <v>0</v>
      </c>
      <c r="F1136" s="1">
        <f t="shared" si="69"/>
        <v>0.30750783570220541</v>
      </c>
    </row>
    <row r="1137" spans="1:6" x14ac:dyDescent="0.35">
      <c r="A1137" s="2">
        <v>45908</v>
      </c>
      <c r="B1137">
        <v>5.065302690830783E-3</v>
      </c>
      <c r="C1137">
        <f t="shared" si="70"/>
        <v>13141.307586606699</v>
      </c>
      <c r="D1137">
        <f t="shared" si="71"/>
        <v>13141.307586606699</v>
      </c>
      <c r="E1137">
        <f t="shared" si="68"/>
        <v>0</v>
      </c>
      <c r="F1137" s="1">
        <f t="shared" si="69"/>
        <v>0.31413075866066986</v>
      </c>
    </row>
    <row r="1138" spans="1:6" x14ac:dyDescent="0.35">
      <c r="A1138" s="2">
        <v>45909</v>
      </c>
      <c r="B1138">
        <v>-9.4851302451488318E-4</v>
      </c>
      <c r="C1138">
        <f t="shared" si="70"/>
        <v>13128.842885201646</v>
      </c>
      <c r="D1138">
        <f t="shared" si="71"/>
        <v>13141.307586606699</v>
      </c>
      <c r="E1138">
        <f t="shared" si="68"/>
        <v>-9.485130245149298E-4</v>
      </c>
      <c r="F1138" s="1">
        <f t="shared" si="69"/>
        <v>0.31288428852016459</v>
      </c>
    </row>
    <row r="1139" spans="1:6" x14ac:dyDescent="0.35">
      <c r="A1139" s="2">
        <v>45910</v>
      </c>
      <c r="B1139">
        <v>2.4061274828497911E-3</v>
      </c>
      <c r="C1139">
        <f t="shared" si="70"/>
        <v>13160.432554885745</v>
      </c>
      <c r="D1139">
        <f t="shared" si="71"/>
        <v>13160.432554885745</v>
      </c>
      <c r="E1139">
        <f t="shared" si="68"/>
        <v>0</v>
      </c>
      <c r="F1139" s="1">
        <f t="shared" si="69"/>
        <v>0.31604325548857459</v>
      </c>
    </row>
    <row r="1140" spans="1:6" x14ac:dyDescent="0.35">
      <c r="A1140" s="2">
        <v>45911</v>
      </c>
      <c r="B1140">
        <v>6.857317143345058E-3</v>
      </c>
      <c r="C1140">
        <f t="shared" si="70"/>
        <v>13250.677814658198</v>
      </c>
      <c r="D1140">
        <f t="shared" si="71"/>
        <v>13250.677814658198</v>
      </c>
      <c r="E1140">
        <f t="shared" si="68"/>
        <v>0</v>
      </c>
      <c r="F1140" s="1">
        <f t="shared" si="69"/>
        <v>0.32506778146581983</v>
      </c>
    </row>
    <row r="1141" spans="1:6" x14ac:dyDescent="0.35">
      <c r="A1141" s="2">
        <v>45912</v>
      </c>
      <c r="B1141">
        <v>-1.4521289933406669E-3</v>
      </c>
      <c r="C1141">
        <f t="shared" si="70"/>
        <v>13231.436121222117</v>
      </c>
      <c r="D1141">
        <f t="shared" si="71"/>
        <v>13250.677814658198</v>
      </c>
      <c r="E1141">
        <f t="shared" si="68"/>
        <v>-1.4521289933406845E-3</v>
      </c>
      <c r="F1141" s="1">
        <f t="shared" si="69"/>
        <v>0.32314361212221177</v>
      </c>
    </row>
    <row r="1142" spans="1:6" x14ac:dyDescent="0.35">
      <c r="A1142" s="2">
        <v>45915</v>
      </c>
      <c r="B1142">
        <v>4.9787189366785741E-3</v>
      </c>
      <c r="C1142">
        <f t="shared" si="70"/>
        <v>13297.311722798298</v>
      </c>
      <c r="D1142">
        <f t="shared" si="71"/>
        <v>13297.311722798298</v>
      </c>
      <c r="E1142">
        <f t="shared" si="68"/>
        <v>0</v>
      </c>
      <c r="F1142" s="1">
        <f t="shared" si="69"/>
        <v>0.32973117227982995</v>
      </c>
    </row>
    <row r="1143" spans="1:6" x14ac:dyDescent="0.35">
      <c r="A1143" s="2">
        <v>45916</v>
      </c>
      <c r="B1143">
        <v>7.3140409720571663E-4</v>
      </c>
      <c r="C1143">
        <f t="shared" si="70"/>
        <v>13307.037431074175</v>
      </c>
      <c r="D1143">
        <f t="shared" si="71"/>
        <v>13307.037431074175</v>
      </c>
      <c r="E1143">
        <f t="shared" si="68"/>
        <v>0</v>
      </c>
      <c r="F1143" s="1">
        <f t="shared" si="69"/>
        <v>0.33070374310741757</v>
      </c>
    </row>
    <row r="1144" spans="1:6" x14ac:dyDescent="0.35">
      <c r="A1144" s="2">
        <v>45917</v>
      </c>
      <c r="B1144">
        <v>-2.2597493707014501E-3</v>
      </c>
      <c r="C1144">
        <f t="shared" si="70"/>
        <v>13276.966861613404</v>
      </c>
      <c r="D1144">
        <f t="shared" si="71"/>
        <v>13307.037431074175</v>
      </c>
      <c r="E1144">
        <f t="shared" si="68"/>
        <v>-2.2597493707015026E-3</v>
      </c>
      <c r="F1144" s="1">
        <f t="shared" si="69"/>
        <v>0.3276966861613404</v>
      </c>
    </row>
    <row r="1145" spans="1:6" x14ac:dyDescent="0.35">
      <c r="A1145" s="2">
        <v>45918</v>
      </c>
      <c r="B1145">
        <v>1.6921432346034E-3</v>
      </c>
      <c r="C1145">
        <f t="shared" si="70"/>
        <v>13299.433391264336</v>
      </c>
      <c r="D1145">
        <f t="shared" si="71"/>
        <v>13307.037431074175</v>
      </c>
      <c r="E1145">
        <f t="shared" si="68"/>
        <v>-5.7142995570769184E-4</v>
      </c>
      <c r="F1145" s="1">
        <f t="shared" si="69"/>
        <v>0.3299433391264337</v>
      </c>
    </row>
    <row r="1146" spans="1:6" x14ac:dyDescent="0.35">
      <c r="A1146" s="2">
        <v>45919</v>
      </c>
      <c r="B1146">
        <v>-7.2189685163859979E-4</v>
      </c>
      <c r="C1146">
        <f t="shared" si="70"/>
        <v>13289.832572170606</v>
      </c>
      <c r="D1146">
        <f t="shared" si="71"/>
        <v>13307.037431074175</v>
      </c>
      <c r="E1146">
        <f t="shared" si="68"/>
        <v>-1.2929142938602478E-3</v>
      </c>
      <c r="F1146" s="1">
        <f t="shared" si="69"/>
        <v>0.32898325721706057</v>
      </c>
    </row>
    <row r="1147" spans="1:6" x14ac:dyDescent="0.35">
      <c r="A1147" s="2">
        <v>45922</v>
      </c>
      <c r="B1147">
        <v>2.9466408068393249E-3</v>
      </c>
      <c r="C1147">
        <f t="shared" si="70"/>
        <v>13328.992935143826</v>
      </c>
      <c r="D1147">
        <f t="shared" si="71"/>
        <v>13328.992935143826</v>
      </c>
      <c r="E1147">
        <f t="shared" si="68"/>
        <v>0</v>
      </c>
      <c r="F1147" s="1">
        <f t="shared" si="69"/>
        <v>0.33289929351438263</v>
      </c>
    </row>
    <row r="1148" spans="1:6" x14ac:dyDescent="0.35">
      <c r="A1148" s="2">
        <v>45923</v>
      </c>
      <c r="B1148">
        <v>1.266220118339991E-3</v>
      </c>
      <c r="C1148">
        <f t="shared" si="70"/>
        <v>13345.870374155516</v>
      </c>
      <c r="D1148">
        <f t="shared" si="71"/>
        <v>13345.870374155516</v>
      </c>
      <c r="E1148">
        <f t="shared" si="68"/>
        <v>0</v>
      </c>
      <c r="F1148" s="1">
        <f t="shared" si="69"/>
        <v>0.33458703741555174</v>
      </c>
    </row>
    <row r="1149" spans="1:6" x14ac:dyDescent="0.35">
      <c r="A1149" s="2">
        <v>45924</v>
      </c>
      <c r="B1149">
        <v>-4.0966495466680736E-3</v>
      </c>
      <c r="C1149">
        <f t="shared" si="70"/>
        <v>13291.19702033734</v>
      </c>
      <c r="D1149">
        <f t="shared" si="71"/>
        <v>13345.870374155516</v>
      </c>
      <c r="E1149">
        <f t="shared" si="68"/>
        <v>-4.0966495466681074E-3</v>
      </c>
      <c r="F1149" s="1">
        <f t="shared" si="69"/>
        <v>0.32911970203373397</v>
      </c>
    </row>
    <row r="1150" spans="1:6" x14ac:dyDescent="0.35">
      <c r="A1150" s="2">
        <v>45925</v>
      </c>
      <c r="B1150">
        <v>-2.5011588405051081E-3</v>
      </c>
      <c r="C1150">
        <f t="shared" si="70"/>
        <v>13257.953625409029</v>
      </c>
      <c r="D1150">
        <f t="shared" si="71"/>
        <v>13345.870374155516</v>
      </c>
      <c r="E1150">
        <f t="shared" si="68"/>
        <v>-6.587562015943127E-3</v>
      </c>
      <c r="F1150" s="1">
        <f t="shared" si="69"/>
        <v>0.32579536254090291</v>
      </c>
    </row>
    <row r="1151" spans="1:6" x14ac:dyDescent="0.35">
      <c r="A1151" s="2">
        <v>45926</v>
      </c>
      <c r="B1151">
        <v>3.5193701525700078E-3</v>
      </c>
      <c r="C1151">
        <f t="shared" si="70"/>
        <v>13304.61327168245</v>
      </c>
      <c r="D1151">
        <f t="shared" si="71"/>
        <v>13345.870374155516</v>
      </c>
      <c r="E1151">
        <f t="shared" si="68"/>
        <v>-3.0913759325102985E-3</v>
      </c>
      <c r="F1151" s="1">
        <f t="shared" si="69"/>
        <v>0.33046132716824506</v>
      </c>
    </row>
    <row r="1152" spans="1:6" x14ac:dyDescent="0.35">
      <c r="A1152" s="2">
        <v>45929</v>
      </c>
      <c r="B1152">
        <v>3.855530557950041E-3</v>
      </c>
      <c r="C1152">
        <f t="shared" si="70"/>
        <v>13355.909614713129</v>
      </c>
      <c r="D1152">
        <f t="shared" si="71"/>
        <v>13355.909614713129</v>
      </c>
      <c r="E1152">
        <f t="shared" si="68"/>
        <v>0</v>
      </c>
      <c r="F1152" s="1">
        <f t="shared" si="69"/>
        <v>0.33559096147131284</v>
      </c>
    </row>
    <row r="1153" spans="1:6" x14ac:dyDescent="0.35">
      <c r="A1153" s="2">
        <v>45930</v>
      </c>
      <c r="B1153">
        <v>1.658530022714983E-3</v>
      </c>
      <c r="C1153">
        <f t="shared" si="70"/>
        <v>13378.0607917898</v>
      </c>
      <c r="D1153">
        <f t="shared" si="71"/>
        <v>13378.0607917898</v>
      </c>
      <c r="E1153">
        <f t="shared" si="68"/>
        <v>0</v>
      </c>
      <c r="F1153" s="1">
        <f t="shared" si="69"/>
        <v>0.33780607917897987</v>
      </c>
    </row>
    <row r="1154" spans="1:6" x14ac:dyDescent="0.35">
      <c r="A1154" s="2">
        <v>45931</v>
      </c>
      <c r="B1154">
        <v>3.3061579587311328E-3</v>
      </c>
      <c r="C1154">
        <f t="shared" si="70"/>
        <v>13422.290773948966</v>
      </c>
      <c r="D1154">
        <f t="shared" si="71"/>
        <v>13422.290773948966</v>
      </c>
      <c r="E1154">
        <f t="shared" si="68"/>
        <v>0</v>
      </c>
      <c r="F1154" s="1">
        <f t="shared" si="69"/>
        <v>0.34222907739489661</v>
      </c>
    </row>
    <row r="1155" spans="1:6" x14ac:dyDescent="0.35">
      <c r="A1155" s="2">
        <v>45932</v>
      </c>
      <c r="B1155">
        <v>6.3400453258408325E-4</v>
      </c>
      <c r="C1155">
        <f t="shared" si="70"/>
        <v>13430.80056713731</v>
      </c>
      <c r="D1155">
        <f t="shared" si="71"/>
        <v>13430.80056713731</v>
      </c>
      <c r="E1155">
        <f t="shared" ref="E1155:E1218" si="72">(C1155/D1155)-1</f>
        <v>0</v>
      </c>
      <c r="F1155" s="1">
        <f t="shared" ref="F1155:F1218" si="73">C1155/$C$2-1</f>
        <v>0.3430800567137311</v>
      </c>
    </row>
    <row r="1156" spans="1:6" x14ac:dyDescent="0.35">
      <c r="A1156" s="2">
        <v>45933</v>
      </c>
      <c r="B1156">
        <v>1.9332026555533401E-3</v>
      </c>
      <c r="C1156">
        <f t="shared" ref="C1156:C1219" si="74">C1155*(1+B1156)</f>
        <v>13456.765026459909</v>
      </c>
      <c r="D1156">
        <f t="shared" ref="D1156:D1219" si="75">MAX(D1155,C1156)</f>
        <v>13456.765026459909</v>
      </c>
      <c r="E1156">
        <f t="shared" si="72"/>
        <v>0</v>
      </c>
      <c r="F1156" s="1">
        <f t="shared" si="73"/>
        <v>0.34567650264599092</v>
      </c>
    </row>
    <row r="1157" spans="1:6" x14ac:dyDescent="0.35">
      <c r="A1157" s="2">
        <v>45936</v>
      </c>
      <c r="B1157">
        <v>2.3233976855486422E-3</v>
      </c>
      <c r="C1157">
        <f t="shared" si="74"/>
        <v>13488.030443177357</v>
      </c>
      <c r="D1157">
        <f t="shared" si="75"/>
        <v>13488.030443177357</v>
      </c>
      <c r="E1157">
        <f t="shared" si="72"/>
        <v>0</v>
      </c>
      <c r="F1157" s="1">
        <f t="shared" si="73"/>
        <v>0.34880304431773568</v>
      </c>
    </row>
    <row r="1158" spans="1:6" x14ac:dyDescent="0.35">
      <c r="A1158" s="2">
        <v>45937</v>
      </c>
      <c r="B1158">
        <v>-1.8011321582597081E-3</v>
      </c>
      <c r="C1158">
        <f t="shared" si="74"/>
        <v>13463.736717794563</v>
      </c>
      <c r="D1158">
        <f t="shared" si="75"/>
        <v>13488.030443177357</v>
      </c>
      <c r="E1158">
        <f t="shared" si="72"/>
        <v>-1.8011321582597217E-3</v>
      </c>
      <c r="F1158" s="1">
        <f t="shared" si="73"/>
        <v>0.34637367177945633</v>
      </c>
    </row>
    <row r="1159" spans="1:6" x14ac:dyDescent="0.35">
      <c r="A1159" s="2">
        <v>45938</v>
      </c>
      <c r="B1159">
        <v>4.1401524755783417E-3</v>
      </c>
      <c r="C1159">
        <f t="shared" si="74"/>
        <v>13519.478640697276</v>
      </c>
      <c r="D1159">
        <f t="shared" si="75"/>
        <v>13519.478640697276</v>
      </c>
      <c r="E1159">
        <f t="shared" si="72"/>
        <v>0</v>
      </c>
      <c r="F1159" s="1">
        <f t="shared" si="73"/>
        <v>0.35194786406972756</v>
      </c>
    </row>
    <row r="1160" spans="1:6" x14ac:dyDescent="0.35">
      <c r="A1160" s="2">
        <v>45939</v>
      </c>
      <c r="B1160">
        <v>-5.7116453726727594E-3</v>
      </c>
      <c r="C1160">
        <f t="shared" si="74"/>
        <v>13442.26017307819</v>
      </c>
      <c r="D1160">
        <f t="shared" si="75"/>
        <v>13519.478640697276</v>
      </c>
      <c r="E1160">
        <f t="shared" si="72"/>
        <v>-5.7116453726727689E-3</v>
      </c>
      <c r="F1160" s="1">
        <f t="shared" si="73"/>
        <v>0.34422601730781888</v>
      </c>
    </row>
    <row r="1161" spans="1:6" x14ac:dyDescent="0.35">
      <c r="A1161" s="2">
        <v>45940</v>
      </c>
      <c r="B1161">
        <v>-1.263578129138984E-2</v>
      </c>
      <c r="C1161">
        <f t="shared" si="74"/>
        <v>13272.406713469214</v>
      </c>
      <c r="D1161">
        <f t="shared" si="75"/>
        <v>13519.478640697276</v>
      </c>
      <c r="E1161">
        <f t="shared" si="72"/>
        <v>-1.8275255562319459E-2</v>
      </c>
      <c r="F1161" s="1">
        <f t="shared" si="73"/>
        <v>0.32724067134692136</v>
      </c>
    </row>
    <row r="1162" spans="1:6" x14ac:dyDescent="0.35">
      <c r="A1162" s="2">
        <v>45943</v>
      </c>
      <c r="B1162">
        <v>1.287274361491768E-2</v>
      </c>
      <c r="C1162">
        <f t="shared" si="74"/>
        <v>13443.259002244615</v>
      </c>
      <c r="D1162">
        <f t="shared" si="75"/>
        <v>13519.478640697276</v>
      </c>
      <c r="E1162">
        <f t="shared" si="72"/>
        <v>-5.6377646267526949E-3</v>
      </c>
      <c r="F1162" s="1">
        <f t="shared" si="73"/>
        <v>0.34432590022446141</v>
      </c>
    </row>
    <row r="1163" spans="1:6" x14ac:dyDescent="0.35">
      <c r="A1163" s="2">
        <v>45944</v>
      </c>
      <c r="B1163">
        <v>1.5299714602967081E-3</v>
      </c>
      <c r="C1163">
        <f t="shared" si="74"/>
        <v>13463.826804851427</v>
      </c>
      <c r="D1163">
        <f t="shared" si="75"/>
        <v>13519.478640697276</v>
      </c>
      <c r="E1163">
        <f t="shared" si="72"/>
        <v>-4.1164187854346723E-3</v>
      </c>
      <c r="F1163" s="1">
        <f t="shared" si="73"/>
        <v>0.34638268048514265</v>
      </c>
    </row>
    <row r="1164" spans="1:6" x14ac:dyDescent="0.35">
      <c r="A1164" s="2">
        <v>45945</v>
      </c>
      <c r="B1164">
        <v>6.4914966655742409E-3</v>
      </c>
      <c r="C1164">
        <f t="shared" si="74"/>
        <v>13551.22719166099</v>
      </c>
      <c r="D1164">
        <f t="shared" si="75"/>
        <v>13551.22719166099</v>
      </c>
      <c r="E1164">
        <f t="shared" si="72"/>
        <v>0</v>
      </c>
      <c r="F1164" s="1">
        <f t="shared" si="73"/>
        <v>0.35512271916609905</v>
      </c>
    </row>
    <row r="1165" spans="1:6" x14ac:dyDescent="0.35">
      <c r="A1165" s="2">
        <v>45946</v>
      </c>
      <c r="B1165">
        <v>8.0167804603127569E-4</v>
      </c>
      <c r="C1165">
        <f t="shared" si="74"/>
        <v>13562.090912997328</v>
      </c>
      <c r="D1165">
        <f t="shared" si="75"/>
        <v>13562.090912997328</v>
      </c>
      <c r="E1165">
        <f t="shared" si="72"/>
        <v>0</v>
      </c>
      <c r="F1165" s="1">
        <f t="shared" si="73"/>
        <v>0.35620909129973288</v>
      </c>
    </row>
    <row r="1166" spans="1:6" x14ac:dyDescent="0.35">
      <c r="A1166" s="2">
        <v>45947</v>
      </c>
      <c r="B1166">
        <v>-7.1670072141180835E-4</v>
      </c>
      <c r="C1166">
        <f t="shared" si="74"/>
        <v>13552.370952656131</v>
      </c>
      <c r="D1166">
        <f t="shared" si="75"/>
        <v>13562.090912997328</v>
      </c>
      <c r="E1166">
        <f t="shared" si="72"/>
        <v>-7.167007214117227E-4</v>
      </c>
      <c r="F1166" s="1">
        <f t="shared" si="73"/>
        <v>0.35523709526561298</v>
      </c>
    </row>
    <row r="1167" spans="1:6" x14ac:dyDescent="0.35">
      <c r="A1167" s="2">
        <v>45950</v>
      </c>
      <c r="B1167">
        <v>1.092086236254329E-2</v>
      </c>
      <c r="C1167">
        <f t="shared" si="74"/>
        <v>13700.374530516217</v>
      </c>
      <c r="D1167">
        <f t="shared" si="75"/>
        <v>13700.374530516217</v>
      </c>
      <c r="E1167">
        <f t="shared" si="72"/>
        <v>0</v>
      </c>
      <c r="F1167" s="1">
        <f t="shared" si="73"/>
        <v>0.37003745305162172</v>
      </c>
    </row>
    <row r="1168" spans="1:6" x14ac:dyDescent="0.35">
      <c r="A1168" s="2">
        <v>45951</v>
      </c>
      <c r="B1168">
        <v>-7.9480536047510722E-3</v>
      </c>
      <c r="C1168">
        <f t="shared" si="74"/>
        <v>13591.483219342508</v>
      </c>
      <c r="D1168">
        <f t="shared" si="75"/>
        <v>13700.374530516217</v>
      </c>
      <c r="E1168">
        <f t="shared" si="72"/>
        <v>-7.9480536047510375E-3</v>
      </c>
      <c r="F1168" s="1">
        <f t="shared" si="73"/>
        <v>0.35914832193425084</v>
      </c>
    </row>
    <row r="1169" spans="1:6" x14ac:dyDescent="0.35">
      <c r="A1169" s="2">
        <v>45952</v>
      </c>
      <c r="B1169">
        <v>-9.1543805507351636E-4</v>
      </c>
      <c r="C1169">
        <f t="shared" si="74"/>
        <v>13579.041058378629</v>
      </c>
      <c r="D1169">
        <f t="shared" si="75"/>
        <v>13700.374530516217</v>
      </c>
      <c r="E1169">
        <f t="shared" si="72"/>
        <v>-8.8562157090910087E-3</v>
      </c>
      <c r="F1169" s="1">
        <f t="shared" si="73"/>
        <v>0.35790410583786292</v>
      </c>
    </row>
    <row r="1170" spans="1:6" x14ac:dyDescent="0.35">
      <c r="A1170" s="2">
        <v>45953</v>
      </c>
      <c r="B1170">
        <v>4.3033136230942329E-3</v>
      </c>
      <c r="C1170">
        <f t="shared" si="74"/>
        <v>13637.475930753706</v>
      </c>
      <c r="D1170">
        <f t="shared" si="75"/>
        <v>13700.374530516217</v>
      </c>
      <c r="E1170">
        <f t="shared" si="72"/>
        <v>-4.5910131597067805E-3</v>
      </c>
      <c r="F1170" s="1">
        <f t="shared" si="73"/>
        <v>0.36374759307537063</v>
      </c>
    </row>
    <row r="1171" spans="1:6" x14ac:dyDescent="0.35">
      <c r="A1171" s="2">
        <v>45954</v>
      </c>
      <c r="B1171">
        <v>3.7507150057447172E-3</v>
      </c>
      <c r="C1171">
        <f t="shared" si="74"/>
        <v>13688.626216367667</v>
      </c>
      <c r="D1171">
        <f t="shared" si="75"/>
        <v>13700.374530516217</v>
      </c>
      <c r="E1171">
        <f t="shared" si="72"/>
        <v>-8.5751773591169478E-4</v>
      </c>
      <c r="F1171" s="1">
        <f t="shared" si="73"/>
        <v>0.36886262163676675</v>
      </c>
    </row>
    <row r="1172" spans="1:6" x14ac:dyDescent="0.35">
      <c r="A1172" s="2">
        <v>45957</v>
      </c>
      <c r="B1172">
        <v>2.619726135449483E-3</v>
      </c>
      <c r="C1172">
        <f t="shared" si="74"/>
        <v>13724.486668225085</v>
      </c>
      <c r="D1172">
        <f t="shared" si="75"/>
        <v>13724.486668225085</v>
      </c>
      <c r="E1172">
        <f t="shared" si="72"/>
        <v>0</v>
      </c>
      <c r="F1172" s="1">
        <f t="shared" si="73"/>
        <v>0.37244866682250843</v>
      </c>
    </row>
    <row r="1173" spans="1:6" x14ac:dyDescent="0.35">
      <c r="A1173" s="2">
        <v>45958</v>
      </c>
      <c r="B1173">
        <v>-2.4295144960913739E-3</v>
      </c>
      <c r="C1173">
        <f t="shared" si="74"/>
        <v>13691.142828913218</v>
      </c>
      <c r="D1173">
        <f t="shared" si="75"/>
        <v>13724.486668225085</v>
      </c>
      <c r="E1173">
        <f t="shared" si="72"/>
        <v>-2.4295144960914117E-3</v>
      </c>
      <c r="F1173" s="1">
        <f t="shared" si="73"/>
        <v>0.36911428289132187</v>
      </c>
    </row>
    <row r="1174" spans="1:6" x14ac:dyDescent="0.35">
      <c r="A1174" s="2">
        <v>45959</v>
      </c>
      <c r="B1174">
        <v>-4.4138876029886078E-3</v>
      </c>
      <c r="C1174">
        <f t="shared" si="74"/>
        <v>13630.711663309932</v>
      </c>
      <c r="D1174">
        <f t="shared" si="75"/>
        <v>13724.486668225085</v>
      </c>
      <c r="E1174">
        <f t="shared" si="72"/>
        <v>-6.8326784951644459E-3</v>
      </c>
      <c r="F1174" s="1">
        <f t="shared" si="73"/>
        <v>0.36307116633099312</v>
      </c>
    </row>
    <row r="1175" spans="1:6" x14ac:dyDescent="0.35">
      <c r="A1175" s="2">
        <v>45960</v>
      </c>
      <c r="B1175">
        <v>-3.2293426763719082E-3</v>
      </c>
      <c r="C1175">
        <f t="shared" si="74"/>
        <v>13586.693424426285</v>
      </c>
      <c r="D1175">
        <f t="shared" si="75"/>
        <v>13724.486668225085</v>
      </c>
      <c r="E1175">
        <f t="shared" si="72"/>
        <v>-1.0039956111278059E-2</v>
      </c>
      <c r="F1175" s="1">
        <f t="shared" si="73"/>
        <v>0.35866934244262838</v>
      </c>
    </row>
    <row r="1176" spans="1:6" x14ac:dyDescent="0.35">
      <c r="A1176" s="2">
        <v>45961</v>
      </c>
      <c r="B1176">
        <v>5.6477309792434156E-4</v>
      </c>
      <c r="C1176">
        <f t="shared" si="74"/>
        <v>13594.366823362147</v>
      </c>
      <c r="D1176">
        <f t="shared" si="75"/>
        <v>13724.486668225085</v>
      </c>
      <c r="E1176">
        <f t="shared" si="72"/>
        <v>-9.4808533104696613E-3</v>
      </c>
      <c r="F1176" s="1">
        <f t="shared" si="73"/>
        <v>0.35943668233621473</v>
      </c>
    </row>
    <row r="1177" spans="1:6" x14ac:dyDescent="0.35">
      <c r="A1177" s="2">
        <v>45964</v>
      </c>
      <c r="B1177">
        <v>7.6621908038747495E-4</v>
      </c>
      <c r="C1177">
        <f t="shared" si="74"/>
        <v>13604.783086607993</v>
      </c>
      <c r="D1177">
        <f t="shared" si="75"/>
        <v>13724.486668225085</v>
      </c>
      <c r="E1177">
        <f t="shared" si="72"/>
        <v>-8.7218986407869847E-3</v>
      </c>
      <c r="F1177" s="1">
        <f t="shared" si="73"/>
        <v>0.36047830866079922</v>
      </c>
    </row>
    <row r="1178" spans="1:6" x14ac:dyDescent="0.35">
      <c r="A1178" s="2">
        <v>45965</v>
      </c>
      <c r="B1178">
        <v>-7.9864177158283159E-3</v>
      </c>
      <c r="C1178">
        <f t="shared" si="74"/>
        <v>13496.129605945105</v>
      </c>
      <c r="D1178">
        <f t="shared" si="75"/>
        <v>13724.486668225085</v>
      </c>
      <c r="E1178">
        <f t="shared" si="72"/>
        <v>-1.6638659630794916E-2</v>
      </c>
      <c r="F1178" s="1">
        <f t="shared" si="73"/>
        <v>0.34961296059451041</v>
      </c>
    </row>
    <row r="1179" spans="1:6" x14ac:dyDescent="0.35">
      <c r="A1179" s="2">
        <v>45966</v>
      </c>
      <c r="B1179">
        <v>2.628858839859883E-3</v>
      </c>
      <c r="C1179">
        <f t="shared" si="74"/>
        <v>13531.60902556359</v>
      </c>
      <c r="D1179">
        <f t="shared" si="75"/>
        <v>13724.486668225085</v>
      </c>
      <c r="E1179">
        <f t="shared" si="72"/>
        <v>-1.4053541478388776E-2</v>
      </c>
      <c r="F1179" s="1">
        <f t="shared" si="73"/>
        <v>0.3531609025563589</v>
      </c>
    </row>
    <row r="1180" spans="1:6" x14ac:dyDescent="0.35">
      <c r="A1180" s="2">
        <v>45967</v>
      </c>
      <c r="B1180">
        <v>-3.4754619251806751E-3</v>
      </c>
      <c r="C1180">
        <f t="shared" si="74"/>
        <v>13484.580433608813</v>
      </c>
      <c r="D1180">
        <f t="shared" si="75"/>
        <v>13724.486668225085</v>
      </c>
      <c r="E1180">
        <f t="shared" si="72"/>
        <v>-1.7480160855247284E-2</v>
      </c>
      <c r="F1180" s="1">
        <f t="shared" si="73"/>
        <v>0.34845804336088126</v>
      </c>
    </row>
    <row r="1181" spans="1:6" x14ac:dyDescent="0.35">
      <c r="A1181" s="2">
        <v>45968</v>
      </c>
      <c r="B1181">
        <v>2.074814835169375E-3</v>
      </c>
      <c r="C1181">
        <f t="shared" si="74"/>
        <v>13512.558441138501</v>
      </c>
      <c r="D1181">
        <f t="shared" si="75"/>
        <v>13724.486668225085</v>
      </c>
      <c r="E1181">
        <f t="shared" si="72"/>
        <v>-1.5441614117141511E-2</v>
      </c>
      <c r="F1181" s="1">
        <f t="shared" si="73"/>
        <v>0.35125584411385002</v>
      </c>
    </row>
    <row r="1182" spans="1:6" x14ac:dyDescent="0.35">
      <c r="A1182" s="2">
        <v>45971</v>
      </c>
      <c r="B1182">
        <v>9.6567130796311913E-3</v>
      </c>
      <c r="C1182">
        <f t="shared" si="74"/>
        <v>13643.045340976325</v>
      </c>
      <c r="D1182">
        <f t="shared" si="75"/>
        <v>13724.486668225085</v>
      </c>
      <c r="E1182">
        <f t="shared" si="72"/>
        <v>-5.9340162745258329E-3</v>
      </c>
      <c r="F1182" s="1">
        <f t="shared" si="73"/>
        <v>0.36430453409763253</v>
      </c>
    </row>
    <row r="1183" spans="1:6" x14ac:dyDescent="0.35">
      <c r="A1183" s="2">
        <v>45972</v>
      </c>
      <c r="B1183">
        <v>3.6087015863140249E-3</v>
      </c>
      <c r="C1183">
        <f t="shared" si="74"/>
        <v>13692.27902034046</v>
      </c>
      <c r="D1183">
        <f t="shared" si="75"/>
        <v>13724.486668225085</v>
      </c>
      <c r="E1183">
        <f t="shared" si="72"/>
        <v>-2.3467287821549165E-3</v>
      </c>
      <c r="F1183" s="1">
        <f t="shared" si="73"/>
        <v>0.3692279020340461</v>
      </c>
    </row>
    <row r="1184" spans="1:6" x14ac:dyDescent="0.35">
      <c r="A1184" s="2">
        <v>45973</v>
      </c>
      <c r="B1184">
        <v>-5.1818201240082457E-6</v>
      </c>
      <c r="C1184">
        <f t="shared" si="74"/>
        <v>13692.208069413489</v>
      </c>
      <c r="D1184">
        <f t="shared" si="75"/>
        <v>13724.486668225085</v>
      </c>
      <c r="E1184">
        <f t="shared" si="72"/>
        <v>-2.3518984419524935E-3</v>
      </c>
      <c r="F1184" s="1">
        <f t="shared" si="73"/>
        <v>0.36922080694134896</v>
      </c>
    </row>
    <row r="1185" spans="1:6" x14ac:dyDescent="0.35">
      <c r="A1185" s="2">
        <v>45974</v>
      </c>
      <c r="B1185">
        <v>-1.109935732491962E-2</v>
      </c>
      <c r="C1185">
        <f t="shared" si="74"/>
        <v>13540.233359483922</v>
      </c>
      <c r="D1185">
        <f t="shared" si="75"/>
        <v>13724.486668225085</v>
      </c>
      <c r="E1185">
        <f t="shared" si="72"/>
        <v>-1.3425151205672892E-2</v>
      </c>
      <c r="F1185" s="1">
        <f t="shared" si="73"/>
        <v>0.35402333594839219</v>
      </c>
    </row>
    <row r="1186" spans="1:6" x14ac:dyDescent="0.35">
      <c r="A1186" s="2">
        <v>45975</v>
      </c>
      <c r="B1186">
        <v>-1.8618012071752079E-3</v>
      </c>
      <c r="C1186">
        <f t="shared" si="74"/>
        <v>13515.024136669801</v>
      </c>
      <c r="D1186">
        <f t="shared" si="75"/>
        <v>13724.486668225085</v>
      </c>
      <c r="E1186">
        <f t="shared" si="72"/>
        <v>-1.5261957450126817E-2</v>
      </c>
      <c r="F1186" s="1">
        <f t="shared" si="73"/>
        <v>0.35150241366698021</v>
      </c>
    </row>
    <row r="1187" spans="1:6" x14ac:dyDescent="0.35">
      <c r="A1187" s="2">
        <v>45978</v>
      </c>
      <c r="B1187">
        <v>-6.7479636738330163E-3</v>
      </c>
      <c r="C1187">
        <f t="shared" si="74"/>
        <v>13423.825244744578</v>
      </c>
      <c r="D1187">
        <f t="shared" si="75"/>
        <v>13724.486668225085</v>
      </c>
      <c r="E1187">
        <f t="shared" si="72"/>
        <v>-2.1906933989494726E-2</v>
      </c>
      <c r="F1187" s="1">
        <f t="shared" si="73"/>
        <v>0.34238252447445783</v>
      </c>
    </row>
    <row r="1188" spans="1:6" x14ac:dyDescent="0.35">
      <c r="A1188" s="2">
        <v>45979</v>
      </c>
      <c r="B1188">
        <v>-1.1539762549089339E-3</v>
      </c>
      <c r="C1188">
        <f t="shared" si="74"/>
        <v>13408.334469162095</v>
      </c>
      <c r="D1188">
        <f t="shared" si="75"/>
        <v>13724.486668225085</v>
      </c>
      <c r="E1188">
        <f t="shared" si="72"/>
        <v>-2.3035630162761889E-2</v>
      </c>
      <c r="F1188" s="1">
        <f t="shared" si="73"/>
        <v>0.34083344691620954</v>
      </c>
    </row>
    <row r="1189" spans="1:6" x14ac:dyDescent="0.35">
      <c r="A1189" s="2">
        <v>45980</v>
      </c>
      <c r="B1189">
        <v>-1.26560404147814E-3</v>
      </c>
      <c r="C1189">
        <f t="shared" si="74"/>
        <v>13391.364826868434</v>
      </c>
      <c r="D1189">
        <f t="shared" si="75"/>
        <v>13724.486668225085</v>
      </c>
      <c r="E1189">
        <f t="shared" si="72"/>
        <v>-2.4272080217608072E-2</v>
      </c>
      <c r="F1189" s="1">
        <f t="shared" si="73"/>
        <v>0.33913648268684327</v>
      </c>
    </row>
    <row r="1190" spans="1:6" x14ac:dyDescent="0.35">
      <c r="A1190" s="2">
        <v>45981</v>
      </c>
      <c r="B1190">
        <v>-7.6687705934842081E-3</v>
      </c>
      <c r="C1190">
        <f t="shared" si="74"/>
        <v>13288.669522077525</v>
      </c>
      <c r="D1190">
        <f t="shared" si="75"/>
        <v>13724.486668225085</v>
      </c>
      <c r="E1190">
        <f t="shared" si="72"/>
        <v>-3.1754713796076861E-2</v>
      </c>
      <c r="F1190" s="1">
        <f t="shared" si="73"/>
        <v>0.32886695220775253</v>
      </c>
    </row>
    <row r="1191" spans="1:6" x14ac:dyDescent="0.35">
      <c r="A1191" s="2">
        <v>45982</v>
      </c>
      <c r="B1191">
        <v>6.8631833097177663E-3</v>
      </c>
      <c r="C1191">
        <f t="shared" si="74"/>
        <v>13379.872096949803</v>
      </c>
      <c r="D1191">
        <f t="shared" si="75"/>
        <v>13724.486668225085</v>
      </c>
      <c r="E1191">
        <f t="shared" si="72"/>
        <v>-2.5109468908089183E-2</v>
      </c>
      <c r="F1191" s="1">
        <f t="shared" si="73"/>
        <v>0.33798720969498031</v>
      </c>
    </row>
    <row r="1192" spans="1:6" x14ac:dyDescent="0.35">
      <c r="A1192" s="2">
        <v>45985</v>
      </c>
      <c r="B1192">
        <v>8.9420387282702733E-3</v>
      </c>
      <c r="C1192">
        <f t="shared" si="74"/>
        <v>13499.515431420032</v>
      </c>
      <c r="D1192">
        <f t="shared" si="75"/>
        <v>13724.486668225085</v>
      </c>
      <c r="E1192">
        <f t="shared" si="72"/>
        <v>-1.6391960023241281E-2</v>
      </c>
      <c r="F1192" s="1">
        <f t="shared" si="73"/>
        <v>0.34995154314200327</v>
      </c>
    </row>
    <row r="1193" spans="1:6" x14ac:dyDescent="0.35">
      <c r="A1193" s="2">
        <v>45986</v>
      </c>
      <c r="B1193">
        <v>5.6574123903433502E-3</v>
      </c>
      <c r="C1193">
        <f t="shared" si="74"/>
        <v>13575.88775728538</v>
      </c>
      <c r="D1193">
        <f t="shared" si="75"/>
        <v>13724.486668225085</v>
      </c>
      <c r="E1193">
        <f t="shared" si="72"/>
        <v>-1.0827283710635349E-2</v>
      </c>
      <c r="F1193" s="1">
        <f t="shared" si="73"/>
        <v>0.35758877572853809</v>
      </c>
    </row>
    <row r="1194" spans="1:6" x14ac:dyDescent="0.35">
      <c r="A1194" s="2">
        <v>45987</v>
      </c>
      <c r="B1194">
        <v>6.2936244646739081E-3</v>
      </c>
      <c r="C1194">
        <f t="shared" si="74"/>
        <v>13661.329296604297</v>
      </c>
      <c r="D1194">
        <f t="shared" si="75"/>
        <v>13724.486668225085</v>
      </c>
      <c r="E1194">
        <f t="shared" si="72"/>
        <v>-4.6018021036087209E-3</v>
      </c>
      <c r="F1194" s="1">
        <f t="shared" si="73"/>
        <v>0.36613292966042965</v>
      </c>
    </row>
    <row r="1195" spans="1:6" x14ac:dyDescent="0.35">
      <c r="A1195" s="2">
        <v>45989</v>
      </c>
      <c r="B1195">
        <v>3.7909278770678831E-3</v>
      </c>
      <c r="C1195">
        <f t="shared" si="74"/>
        <v>13713.118410672598</v>
      </c>
      <c r="D1195">
        <f t="shared" si="75"/>
        <v>13724.486668225085</v>
      </c>
      <c r="E1195">
        <f t="shared" si="72"/>
        <v>-8.2831932642024597E-4</v>
      </c>
      <c r="F1195" s="1">
        <f t="shared" si="73"/>
        <v>0.37131184106725978</v>
      </c>
    </row>
    <row r="1196" spans="1:6" x14ac:dyDescent="0.35">
      <c r="A1196" s="2">
        <v>45992</v>
      </c>
      <c r="B1196">
        <v>-4.6022958676207081E-3</v>
      </c>
      <c r="C1196">
        <f t="shared" si="74"/>
        <v>13650.006582478965</v>
      </c>
      <c r="D1196">
        <f t="shared" si="75"/>
        <v>13724.486668225085</v>
      </c>
      <c r="E1196">
        <f t="shared" si="72"/>
        <v>-5.4268030234279063E-3</v>
      </c>
      <c r="F1196" s="1">
        <f t="shared" si="73"/>
        <v>0.36500065824789663</v>
      </c>
    </row>
    <row r="1197" spans="1:6" x14ac:dyDescent="0.35">
      <c r="A1197" s="2">
        <v>45993</v>
      </c>
      <c r="B1197">
        <v>8.8083706037566604E-5</v>
      </c>
      <c r="C1197">
        <f t="shared" si="74"/>
        <v>13651.208925646186</v>
      </c>
      <c r="D1197">
        <f t="shared" si="75"/>
        <v>13724.486668225085</v>
      </c>
      <c r="E1197">
        <f t="shared" si="72"/>
        <v>-5.3391973303126283E-3</v>
      </c>
      <c r="F1197" s="1">
        <f t="shared" si="73"/>
        <v>0.36512089256461855</v>
      </c>
    </row>
    <row r="1198" spans="1:6" x14ac:dyDescent="0.35">
      <c r="A1198" s="2">
        <v>45994</v>
      </c>
      <c r="B1198">
        <v>3.7175071012464081E-3</v>
      </c>
      <c r="C1198">
        <f t="shared" si="74"/>
        <v>13701.957391767872</v>
      </c>
      <c r="D1198">
        <f t="shared" si="75"/>
        <v>13724.486668225085</v>
      </c>
      <c r="E1198">
        <f t="shared" si="72"/>
        <v>-1.6415387330568354E-3</v>
      </c>
      <c r="F1198" s="1">
        <f t="shared" si="73"/>
        <v>0.37019573917678716</v>
      </c>
    </row>
    <row r="1199" spans="1:6" x14ac:dyDescent="0.35">
      <c r="A1199" s="2">
        <v>45995</v>
      </c>
      <c r="B1199">
        <v>1.9778086900101651E-4</v>
      </c>
      <c r="C1199">
        <f t="shared" si="74"/>
        <v>13704.667376807831</v>
      </c>
      <c r="D1199">
        <f t="shared" si="75"/>
        <v>13724.486668225085</v>
      </c>
      <c r="E1199">
        <f t="shared" si="72"/>
        <v>-1.4440825290128467E-3</v>
      </c>
      <c r="F1199" s="1">
        <f t="shared" si="73"/>
        <v>0.37046673768078309</v>
      </c>
    </row>
    <row r="1200" spans="1:6" x14ac:dyDescent="0.35">
      <c r="A1200" s="2">
        <v>45996</v>
      </c>
      <c r="B1200">
        <v>4.0068249329699182E-4</v>
      </c>
      <c r="C1200">
        <f t="shared" si="74"/>
        <v>13710.158597102176</v>
      </c>
      <c r="D1200">
        <f t="shared" si="75"/>
        <v>13724.486668225085</v>
      </c>
      <c r="E1200">
        <f t="shared" si="72"/>
        <v>-1.0439786543041674E-3</v>
      </c>
      <c r="F1200" s="1">
        <f t="shared" si="73"/>
        <v>0.37101585971021755</v>
      </c>
    </row>
    <row r="1201" spans="1:6" x14ac:dyDescent="0.35">
      <c r="A1201" s="2">
        <v>45999</v>
      </c>
      <c r="B1201">
        <v>-3.5423093861813668E-3</v>
      </c>
      <c r="C1201">
        <f t="shared" si="74"/>
        <v>13661.592973617626</v>
      </c>
      <c r="D1201">
        <f t="shared" si="75"/>
        <v>13724.486668225085</v>
      </c>
      <c r="E1201">
        <f t="shared" si="72"/>
        <v>-4.5825899450994134E-3</v>
      </c>
      <c r="F1201" s="1">
        <f t="shared" si="73"/>
        <v>0.36615929736176267</v>
      </c>
    </row>
    <row r="1202" spans="1:6" x14ac:dyDescent="0.35">
      <c r="A1202" s="2">
        <v>46000</v>
      </c>
      <c r="B1202">
        <v>-3.5199252517466659E-4</v>
      </c>
      <c r="C1202">
        <f t="shared" si="74"/>
        <v>13656.784195008933</v>
      </c>
      <c r="D1202">
        <f t="shared" si="75"/>
        <v>13724.486668225085</v>
      </c>
      <c r="E1202">
        <f t="shared" si="72"/>
        <v>-4.9329694328674734E-3</v>
      </c>
      <c r="F1202" s="1">
        <f t="shared" si="73"/>
        <v>0.3656784195008933</v>
      </c>
    </row>
    <row r="1203" spans="1:6" x14ac:dyDescent="0.35">
      <c r="A1203" s="2">
        <v>46001</v>
      </c>
      <c r="B1203">
        <v>6.3036577724055664E-3</v>
      </c>
      <c r="C1203">
        <f t="shared" si="74"/>
        <v>13742.871888845868</v>
      </c>
      <c r="D1203">
        <f t="shared" si="75"/>
        <v>13742.871888845868</v>
      </c>
      <c r="E1203">
        <f t="shared" si="72"/>
        <v>0</v>
      </c>
      <c r="F1203" s="1">
        <f t="shared" si="73"/>
        <v>0.3742871888845869</v>
      </c>
    </row>
    <row r="1204" spans="1:6" x14ac:dyDescent="0.35">
      <c r="A1204" s="2">
        <v>46002</v>
      </c>
      <c r="B1204">
        <v>1.956684996738167E-3</v>
      </c>
      <c r="C1204">
        <f t="shared" si="74"/>
        <v>13769.762360082867</v>
      </c>
      <c r="D1204">
        <f t="shared" si="75"/>
        <v>13769.762360082867</v>
      </c>
      <c r="E1204">
        <f t="shared" si="72"/>
        <v>0</v>
      </c>
      <c r="F1204" s="1">
        <f t="shared" si="73"/>
        <v>0.37697623600828667</v>
      </c>
    </row>
    <row r="1205" spans="1:6" x14ac:dyDescent="0.35">
      <c r="A1205" s="2">
        <v>46003</v>
      </c>
      <c r="B1205">
        <v>-7.1836201576754924E-3</v>
      </c>
      <c r="C1205">
        <f t="shared" si="74"/>
        <v>13670.845617626574</v>
      </c>
      <c r="D1205">
        <f t="shared" si="75"/>
        <v>13769.762360082867</v>
      </c>
      <c r="E1205">
        <f t="shared" si="72"/>
        <v>-7.1836201576754855E-3</v>
      </c>
      <c r="F1205" s="1">
        <f t="shared" si="73"/>
        <v>0.36708456176265747</v>
      </c>
    </row>
    <row r="1206" spans="1:6" x14ac:dyDescent="0.35">
      <c r="A1206" s="2">
        <v>46006</v>
      </c>
      <c r="B1206">
        <v>-7.077689181916668E-4</v>
      </c>
      <c r="C1206">
        <f t="shared" si="74"/>
        <v>13661.169818013021</v>
      </c>
      <c r="D1206">
        <f t="shared" si="75"/>
        <v>13769.762360082867</v>
      </c>
      <c r="E1206">
        <f t="shared" si="72"/>
        <v>-7.8863047327994984E-3</v>
      </c>
      <c r="F1206" s="1">
        <f t="shared" si="73"/>
        <v>0.36611698180130214</v>
      </c>
    </row>
    <row r="1207" spans="1:6" x14ac:dyDescent="0.35">
      <c r="A1207" s="2">
        <v>46007</v>
      </c>
      <c r="B1207">
        <v>-1.8721155673672831E-3</v>
      </c>
      <c r="C1207">
        <f t="shared" si="74"/>
        <v>13635.594529328269</v>
      </c>
      <c r="D1207">
        <f t="shared" si="75"/>
        <v>13769.762360082867</v>
      </c>
      <c r="E1207">
        <f t="shared" si="72"/>
        <v>-9.7436562263075732E-3</v>
      </c>
      <c r="F1207" s="1">
        <f t="shared" si="73"/>
        <v>0.36355945293282699</v>
      </c>
    </row>
    <row r="1208" spans="1:6" x14ac:dyDescent="0.35">
      <c r="A1208" s="2">
        <v>46008</v>
      </c>
      <c r="B1208">
        <v>-2.888455468194833E-3</v>
      </c>
      <c r="C1208">
        <f t="shared" si="74"/>
        <v>13596.208721747944</v>
      </c>
      <c r="D1208">
        <f t="shared" si="75"/>
        <v>13769.762360082867</v>
      </c>
      <c r="E1208">
        <f t="shared" si="72"/>
        <v>-1.2603967577395347E-2</v>
      </c>
      <c r="F1208" s="1">
        <f t="shared" si="73"/>
        <v>0.35962087217479444</v>
      </c>
    </row>
    <row r="1209" spans="1:6" x14ac:dyDescent="0.35">
      <c r="A1209" s="2">
        <v>46009</v>
      </c>
      <c r="B1209">
        <v>3.8629546718281912E-3</v>
      </c>
      <c r="C1209">
        <f t="shared" si="74"/>
        <v>13648.730259748772</v>
      </c>
      <c r="D1209">
        <f t="shared" si="75"/>
        <v>13769.762360082867</v>
      </c>
      <c r="E1209">
        <f t="shared" si="72"/>
        <v>-8.7897014610036628E-3</v>
      </c>
      <c r="F1209" s="1">
        <f t="shared" si="73"/>
        <v>0.36487302597487714</v>
      </c>
    </row>
    <row r="1210" spans="1:6" x14ac:dyDescent="0.35">
      <c r="A1210" s="2">
        <v>46010</v>
      </c>
      <c r="B1210">
        <v>3.525329939371E-3</v>
      </c>
      <c r="C1210">
        <f t="shared" si="74"/>
        <v>13696.846537167863</v>
      </c>
      <c r="D1210">
        <f t="shared" si="75"/>
        <v>13769.762360082867</v>
      </c>
      <c r="E1210">
        <f t="shared" si="72"/>
        <v>-5.2953581193513344E-3</v>
      </c>
      <c r="F1210" s="1">
        <f t="shared" si="73"/>
        <v>0.36968465371678638</v>
      </c>
    </row>
    <row r="1211" spans="1:6" x14ac:dyDescent="0.35">
      <c r="A1211" s="2">
        <v>46013</v>
      </c>
      <c r="B1211">
        <v>5.7172467040721917E-3</v>
      </c>
      <c r="C1211">
        <f t="shared" si="74"/>
        <v>13775.15478788867</v>
      </c>
      <c r="D1211">
        <f t="shared" si="75"/>
        <v>13775.15478788867</v>
      </c>
      <c r="E1211">
        <f t="shared" si="72"/>
        <v>0</v>
      </c>
      <c r="F1211" s="1">
        <f t="shared" si="73"/>
        <v>0.37751547878886704</v>
      </c>
    </row>
    <row r="1212" spans="1:6" x14ac:dyDescent="0.35">
      <c r="A1212" s="2">
        <v>46014</v>
      </c>
      <c r="B1212">
        <v>3.477314613682224E-3</v>
      </c>
      <c r="C1212">
        <f t="shared" si="74"/>
        <v>13823.05533493833</v>
      </c>
      <c r="D1212">
        <f t="shared" si="75"/>
        <v>13823.05533493833</v>
      </c>
      <c r="E1212">
        <f t="shared" si="72"/>
        <v>0</v>
      </c>
      <c r="F1212" s="1">
        <f t="shared" si="73"/>
        <v>0.38230553349383301</v>
      </c>
    </row>
    <row r="1213" spans="1:6" x14ac:dyDescent="0.35">
      <c r="A1213" s="2">
        <v>46015</v>
      </c>
      <c r="B1213">
        <v>2.386611783848816E-3</v>
      </c>
      <c r="C1213">
        <f t="shared" si="74"/>
        <v>13856.04560168949</v>
      </c>
      <c r="D1213">
        <f t="shared" si="75"/>
        <v>13856.04560168949</v>
      </c>
      <c r="E1213">
        <f t="shared" si="72"/>
        <v>0</v>
      </c>
      <c r="F1213" s="1">
        <f t="shared" si="73"/>
        <v>0.38560456016894906</v>
      </c>
    </row>
    <row r="1214" spans="1:6" x14ac:dyDescent="0.35">
      <c r="A1214" s="2">
        <v>46017</v>
      </c>
      <c r="B1214">
        <v>1.3601694184516031E-3</v>
      </c>
      <c r="C1214">
        <f t="shared" si="74"/>
        <v>13874.892171177577</v>
      </c>
      <c r="D1214">
        <f t="shared" si="75"/>
        <v>13874.892171177577</v>
      </c>
      <c r="E1214">
        <f t="shared" si="72"/>
        <v>0</v>
      </c>
      <c r="F1214" s="1">
        <f t="shared" si="73"/>
        <v>0.38748921711775774</v>
      </c>
    </row>
    <row r="1215" spans="1:6" x14ac:dyDescent="0.35">
      <c r="A1215" s="2">
        <v>46020</v>
      </c>
      <c r="B1215">
        <v>-5.3250105807880503E-3</v>
      </c>
      <c r="C1215">
        <f t="shared" si="74"/>
        <v>13801.008223558763</v>
      </c>
      <c r="D1215">
        <f t="shared" si="75"/>
        <v>13874.892171177577</v>
      </c>
      <c r="E1215">
        <f t="shared" si="72"/>
        <v>-5.3250105807880477E-3</v>
      </c>
      <c r="F1215" s="1">
        <f t="shared" si="73"/>
        <v>0.38010082235587639</v>
      </c>
    </row>
    <row r="1216" spans="1:6" x14ac:dyDescent="0.35">
      <c r="A1216" s="2">
        <v>46021</v>
      </c>
      <c r="B1216">
        <v>4.6692892300024917E-5</v>
      </c>
      <c r="C1216">
        <f t="shared" si="74"/>
        <v>13801.652632549378</v>
      </c>
      <c r="D1216">
        <f t="shared" si="75"/>
        <v>13874.892171177577</v>
      </c>
      <c r="E1216">
        <f t="shared" si="72"/>
        <v>-5.2785663286335494E-3</v>
      </c>
      <c r="F1216" s="1">
        <f t="shared" si="73"/>
        <v>0.38016526325493771</v>
      </c>
    </row>
    <row r="1217" spans="1:6" x14ac:dyDescent="0.35">
      <c r="A1217" s="2">
        <v>46022</v>
      </c>
      <c r="B1217">
        <v>-6.1752432349916576E-3</v>
      </c>
      <c r="C1217">
        <f t="shared" si="74"/>
        <v>13716.424070498522</v>
      </c>
      <c r="D1217">
        <f t="shared" si="75"/>
        <v>13874.892171177577</v>
      </c>
      <c r="E1217">
        <f t="shared" si="72"/>
        <v>-1.1421213132613794E-2</v>
      </c>
      <c r="F1217" s="1">
        <f t="shared" si="73"/>
        <v>0.3716424070498523</v>
      </c>
    </row>
    <row r="1218" spans="1:6" x14ac:dyDescent="0.35">
      <c r="A1218" s="2">
        <v>46024</v>
      </c>
      <c r="B1218">
        <v>4.4645336950651831E-3</v>
      </c>
      <c r="C1218">
        <f t="shared" si="74"/>
        <v>13777.661507937068</v>
      </c>
      <c r="D1218">
        <f t="shared" si="75"/>
        <v>13874.892171177577</v>
      </c>
      <c r="E1218">
        <f t="shared" si="72"/>
        <v>-7.0076698284176064E-3</v>
      </c>
      <c r="F1218" s="1">
        <f t="shared" si="73"/>
        <v>0.37776615079370668</v>
      </c>
    </row>
    <row r="1219" spans="1:6" x14ac:dyDescent="0.35">
      <c r="A1219" s="2">
        <v>46027</v>
      </c>
      <c r="B1219">
        <v>9.4708894766429991E-3</v>
      </c>
      <c r="C1219">
        <f t="shared" si="74"/>
        <v>13908.148217325339</v>
      </c>
      <c r="D1219">
        <f t="shared" si="75"/>
        <v>13908.148217325339</v>
      </c>
      <c r="E1219">
        <f t="shared" ref="E1219:E1256" si="76">(C1219/D1219)-1</f>
        <v>0</v>
      </c>
      <c r="F1219" s="1">
        <f t="shared" ref="F1219:F1256" si="77">C1219/$C$2-1</f>
        <v>0.39081482173253379</v>
      </c>
    </row>
    <row r="1220" spans="1:6" x14ac:dyDescent="0.35">
      <c r="A1220" s="2">
        <v>46028</v>
      </c>
      <c r="B1220">
        <v>4.338988948851966E-3</v>
      </c>
      <c r="C1220">
        <f t="shared" ref="C1220:C1255" si="78">C1219*(1+B1220)</f>
        <v>13968.495518739308</v>
      </c>
      <c r="D1220">
        <f t="shared" ref="D1220:D1256" si="79">MAX(D1219,C1220)</f>
        <v>13968.495518739308</v>
      </c>
      <c r="E1220">
        <f t="shared" si="76"/>
        <v>0</v>
      </c>
      <c r="F1220" s="1">
        <f t="shared" si="77"/>
        <v>0.39684955187393078</v>
      </c>
    </row>
    <row r="1221" spans="1:6" x14ac:dyDescent="0.35">
      <c r="A1221" s="2">
        <v>46029</v>
      </c>
      <c r="B1221">
        <v>-3.015899333380524E-3</v>
      </c>
      <c r="C1221">
        <f t="shared" si="78"/>
        <v>13926.367942416013</v>
      </c>
      <c r="D1221">
        <f t="shared" si="79"/>
        <v>13968.495518739308</v>
      </c>
      <c r="E1221">
        <f t="shared" si="76"/>
        <v>-3.015899333380534E-3</v>
      </c>
      <c r="F1221" s="1">
        <f t="shared" si="77"/>
        <v>0.39263679424160136</v>
      </c>
    </row>
    <row r="1222" spans="1:6" x14ac:dyDescent="0.35">
      <c r="A1222" s="2">
        <v>46030</v>
      </c>
      <c r="B1222">
        <v>1.8992096860273829E-3</v>
      </c>
      <c r="C1222">
        <f t="shared" si="78"/>
        <v>13952.817035303429</v>
      </c>
      <c r="D1222">
        <f t="shared" si="79"/>
        <v>13968.495518739308</v>
      </c>
      <c r="E1222">
        <f t="shared" si="76"/>
        <v>-1.1224174725793512E-3</v>
      </c>
      <c r="F1222" s="1">
        <f t="shared" si="77"/>
        <v>0.39528170353034286</v>
      </c>
    </row>
    <row r="1223" spans="1:6" x14ac:dyDescent="0.35">
      <c r="A1223" s="2">
        <v>46031</v>
      </c>
      <c r="B1223">
        <v>5.0065535704323077E-3</v>
      </c>
      <c r="C1223">
        <f t="shared" si="78"/>
        <v>14022.672561249115</v>
      </c>
      <c r="D1223">
        <f t="shared" si="79"/>
        <v>14022.672561249115</v>
      </c>
      <c r="E1223">
        <f t="shared" si="76"/>
        <v>0</v>
      </c>
      <c r="F1223" s="1">
        <f t="shared" si="77"/>
        <v>0.40226725612491165</v>
      </c>
    </row>
    <row r="1224" spans="1:6" x14ac:dyDescent="0.35">
      <c r="A1224" s="2">
        <v>46034</v>
      </c>
      <c r="B1224">
        <v>4.5997434771224829E-3</v>
      </c>
      <c r="C1224">
        <f t="shared" si="78"/>
        <v>14087.173257894547</v>
      </c>
      <c r="D1224">
        <f t="shared" si="79"/>
        <v>14087.173257894547</v>
      </c>
      <c r="E1224">
        <f t="shared" si="76"/>
        <v>0</v>
      </c>
      <c r="F1224" s="1">
        <f t="shared" si="77"/>
        <v>0.40871732578945474</v>
      </c>
    </row>
    <row r="1225" spans="1:6" x14ac:dyDescent="0.35">
      <c r="A1225" s="2">
        <v>46035</v>
      </c>
      <c r="B1225">
        <v>-1.324630575948334E-5</v>
      </c>
      <c r="C1225">
        <f t="shared" si="78"/>
        <v>14086.986654890286</v>
      </c>
      <c r="D1225">
        <f t="shared" si="79"/>
        <v>14087.173257894547</v>
      </c>
      <c r="E1225">
        <f t="shared" si="76"/>
        <v>-1.3246305759384569E-5</v>
      </c>
      <c r="F1225" s="1">
        <f t="shared" si="77"/>
        <v>0.40869866548902856</v>
      </c>
    </row>
    <row r="1226" spans="1:6" x14ac:dyDescent="0.35">
      <c r="A1226" s="2">
        <v>46036</v>
      </c>
      <c r="B1226">
        <v>2.5348434113545999E-3</v>
      </c>
      <c r="C1226">
        <f t="shared" si="78"/>
        <v>14122.694960198274</v>
      </c>
      <c r="D1226">
        <f t="shared" si="79"/>
        <v>14122.694960198274</v>
      </c>
      <c r="E1226">
        <f t="shared" si="76"/>
        <v>0</v>
      </c>
      <c r="F1226" s="1">
        <f t="shared" si="77"/>
        <v>0.41226949601982743</v>
      </c>
    </row>
    <row r="1227" spans="1:6" x14ac:dyDescent="0.35">
      <c r="A1227" s="2">
        <v>46037</v>
      </c>
      <c r="B1227">
        <v>8.1204220035314988E-4</v>
      </c>
      <c r="C1227">
        <f t="shared" si="78"/>
        <v>14134.163184488671</v>
      </c>
      <c r="D1227">
        <f t="shared" si="79"/>
        <v>14134.163184488671</v>
      </c>
      <c r="E1227">
        <f t="shared" si="76"/>
        <v>0</v>
      </c>
      <c r="F1227" s="1">
        <f t="shared" si="77"/>
        <v>0.41341631844886706</v>
      </c>
    </row>
    <row r="1228" spans="1:6" x14ac:dyDescent="0.35">
      <c r="A1228" s="2">
        <v>46038</v>
      </c>
      <c r="B1228">
        <v>-6.6570346319036672E-4</v>
      </c>
      <c r="C1228">
        <f t="shared" si="78"/>
        <v>14124.754023107458</v>
      </c>
      <c r="D1228">
        <f t="shared" si="79"/>
        <v>14134.163184488671</v>
      </c>
      <c r="E1228">
        <f t="shared" si="76"/>
        <v>-6.6570346319039242E-4</v>
      </c>
      <c r="F1228" s="1">
        <f t="shared" si="77"/>
        <v>0.41247540231074575</v>
      </c>
    </row>
    <row r="1229" spans="1:6" x14ac:dyDescent="0.35">
      <c r="A1229" s="2">
        <v>46042</v>
      </c>
      <c r="B1229">
        <v>-5.9203004757109991E-3</v>
      </c>
      <c r="C1229">
        <f t="shared" si="78"/>
        <v>14041.131235145154</v>
      </c>
      <c r="D1229">
        <f t="shared" si="79"/>
        <v>14134.163184488671</v>
      </c>
      <c r="E1229">
        <f t="shared" si="76"/>
        <v>-6.5820627743715665E-3</v>
      </c>
      <c r="F1229" s="1">
        <f t="shared" si="77"/>
        <v>0.40411312351451545</v>
      </c>
    </row>
    <row r="1230" spans="1:6" x14ac:dyDescent="0.35">
      <c r="A1230" s="2">
        <v>46043</v>
      </c>
      <c r="B1230">
        <v>1.0084687713153359E-2</v>
      </c>
      <c r="C1230">
        <f t="shared" si="78"/>
        <v>14182.731658790995</v>
      </c>
      <c r="D1230">
        <f t="shared" si="79"/>
        <v>14182.731658790995</v>
      </c>
      <c r="E1230">
        <f t="shared" si="76"/>
        <v>0</v>
      </c>
      <c r="F1230" s="1">
        <f t="shared" si="77"/>
        <v>0.41827316587909946</v>
      </c>
    </row>
    <row r="1231" spans="1:6" x14ac:dyDescent="0.35">
      <c r="A1231" s="2">
        <v>46044</v>
      </c>
      <c r="B1231">
        <v>3.8765260688492171E-3</v>
      </c>
      <c r="C1231">
        <f t="shared" si="78"/>
        <v>14237.71138779379</v>
      </c>
      <c r="D1231">
        <f t="shared" si="79"/>
        <v>14237.71138779379</v>
      </c>
      <c r="E1231">
        <f t="shared" si="76"/>
        <v>0</v>
      </c>
      <c r="F1231" s="1">
        <f t="shared" si="77"/>
        <v>0.423771138779379</v>
      </c>
    </row>
    <row r="1232" spans="1:6" x14ac:dyDescent="0.35">
      <c r="A1232" s="2">
        <v>46045</v>
      </c>
      <c r="B1232">
        <v>2.9761992451234078E-3</v>
      </c>
      <c r="C1232">
        <f t="shared" si="78"/>
        <v>14280.085653678427</v>
      </c>
      <c r="D1232">
        <f t="shared" si="79"/>
        <v>14280.085653678427</v>
      </c>
      <c r="E1232">
        <f t="shared" si="76"/>
        <v>0</v>
      </c>
      <c r="F1232" s="1">
        <f t="shared" si="77"/>
        <v>0.42800856536784271</v>
      </c>
    </row>
    <row r="1233" spans="1:6" x14ac:dyDescent="0.35">
      <c r="A1233" s="2">
        <v>46048</v>
      </c>
      <c r="B1233">
        <v>3.20265647164665E-3</v>
      </c>
      <c r="C1233">
        <f t="shared" si="78"/>
        <v>14325.819862412849</v>
      </c>
      <c r="D1233">
        <f t="shared" si="79"/>
        <v>14325.819862412849</v>
      </c>
      <c r="E1233">
        <f t="shared" si="76"/>
        <v>0</v>
      </c>
      <c r="F1233" s="1">
        <f t="shared" si="77"/>
        <v>0.43258198624128497</v>
      </c>
    </row>
    <row r="1234" spans="1:6" x14ac:dyDescent="0.35">
      <c r="A1234" s="2">
        <v>46049</v>
      </c>
      <c r="B1234">
        <v>6.7499538923606406E-3</v>
      </c>
      <c r="C1234">
        <f t="shared" si="78"/>
        <v>14422.518485954399</v>
      </c>
      <c r="D1234">
        <f t="shared" si="79"/>
        <v>14422.518485954399</v>
      </c>
      <c r="E1234">
        <f t="shared" si="76"/>
        <v>0</v>
      </c>
      <c r="F1234" s="1">
        <f t="shared" si="77"/>
        <v>0.44225184859543987</v>
      </c>
    </row>
    <row r="1235" spans="1:6" x14ac:dyDescent="0.35">
      <c r="A1235" s="2">
        <v>46050</v>
      </c>
      <c r="B1235">
        <v>2.4458507519480332E-3</v>
      </c>
      <c r="C1235">
        <f t="shared" si="78"/>
        <v>14457.793813638255</v>
      </c>
      <c r="D1235">
        <f t="shared" si="79"/>
        <v>14457.793813638255</v>
      </c>
      <c r="E1235">
        <f t="shared" si="76"/>
        <v>0</v>
      </c>
      <c r="F1235" s="1">
        <f t="shared" si="77"/>
        <v>0.44577938136382556</v>
      </c>
    </row>
    <row r="1236" spans="1:6" x14ac:dyDescent="0.35">
      <c r="A1236" s="2">
        <v>46051</v>
      </c>
      <c r="B1236">
        <v>2.2050718490031502E-3</v>
      </c>
      <c r="C1236">
        <f t="shared" si="78"/>
        <v>14489.6742877754</v>
      </c>
      <c r="D1236">
        <f t="shared" si="79"/>
        <v>14489.6742877754</v>
      </c>
      <c r="E1236">
        <f t="shared" si="76"/>
        <v>0</v>
      </c>
      <c r="F1236" s="1">
        <f t="shared" si="77"/>
        <v>0.44896742877754003</v>
      </c>
    </row>
    <row r="1237" spans="1:6" x14ac:dyDescent="0.35">
      <c r="A1237" s="2">
        <v>46052</v>
      </c>
      <c r="B1237">
        <v>-1.6905743864939361E-2</v>
      </c>
      <c r="C1237">
        <f t="shared" si="78"/>
        <v>14244.715565579872</v>
      </c>
      <c r="D1237">
        <f t="shared" si="79"/>
        <v>14489.6742877754</v>
      </c>
      <c r="E1237">
        <f t="shared" si="76"/>
        <v>-1.6905743864939371E-2</v>
      </c>
      <c r="F1237" s="1">
        <f t="shared" si="77"/>
        <v>0.4244715565579873</v>
      </c>
    </row>
    <row r="1238" spans="1:6" x14ac:dyDescent="0.35">
      <c r="A1238" s="2">
        <v>46055</v>
      </c>
      <c r="B1238">
        <v>-5.0663112674942581E-3</v>
      </c>
      <c r="C1238">
        <f t="shared" si="78"/>
        <v>14172.547402607725</v>
      </c>
      <c r="D1238">
        <f t="shared" si="79"/>
        <v>14489.6742877754</v>
      </c>
      <c r="E1238">
        <f t="shared" si="76"/>
        <v>-2.1886405371805195E-2</v>
      </c>
      <c r="F1238" s="1">
        <f t="shared" si="77"/>
        <v>0.41725474026077247</v>
      </c>
    </row>
    <row r="1239" spans="1:6" x14ac:dyDescent="0.35">
      <c r="A1239" s="2">
        <v>46056</v>
      </c>
      <c r="B1239">
        <v>6.2366522759962247E-3</v>
      </c>
      <c r="C1239">
        <f t="shared" si="78"/>
        <v>14260.936652622862</v>
      </c>
      <c r="D1239">
        <f t="shared" si="79"/>
        <v>14489.6742877754</v>
      </c>
      <c r="E1239">
        <f t="shared" si="76"/>
        <v>-1.5786250995684425E-2</v>
      </c>
      <c r="F1239" s="1">
        <f t="shared" si="77"/>
        <v>0.4260936652622862</v>
      </c>
    </row>
    <row r="1240" spans="1:6" x14ac:dyDescent="0.35">
      <c r="A1240" s="2">
        <v>46057</v>
      </c>
      <c r="B1240">
        <v>-2.5832589917939579E-3</v>
      </c>
      <c r="C1240">
        <f t="shared" si="78"/>
        <v>14224.09695978357</v>
      </c>
      <c r="D1240">
        <f t="shared" si="79"/>
        <v>14489.6742877754</v>
      </c>
      <c r="E1240">
        <f t="shared" si="76"/>
        <v>-1.8328730012647121E-2</v>
      </c>
      <c r="F1240" s="1">
        <f t="shared" si="77"/>
        <v>0.42240969597835698</v>
      </c>
    </row>
    <row r="1241" spans="1:6" x14ac:dyDescent="0.35">
      <c r="A1241" s="2">
        <v>46058</v>
      </c>
      <c r="B1241">
        <v>-7.427819696764466E-3</v>
      </c>
      <c r="C1241">
        <f t="shared" si="78"/>
        <v>14118.442932217004</v>
      </c>
      <c r="D1241">
        <f t="shared" si="79"/>
        <v>14489.6742877754</v>
      </c>
      <c r="E1241">
        <f t="shared" si="76"/>
        <v>-2.5620407207606832E-2</v>
      </c>
      <c r="F1241" s="1">
        <f t="shared" si="77"/>
        <v>0.41184429322170035</v>
      </c>
    </row>
    <row r="1242" spans="1:6" x14ac:dyDescent="0.35">
      <c r="A1242" s="2">
        <v>46059</v>
      </c>
      <c r="B1242">
        <v>1.558222240443027E-2</v>
      </c>
      <c r="C1242">
        <f t="shared" si="78"/>
        <v>14338.439649991064</v>
      </c>
      <c r="D1242">
        <f t="shared" si="79"/>
        <v>14489.6742877754</v>
      </c>
      <c r="E1242">
        <f t="shared" si="76"/>
        <v>-1.0437407686377687E-2</v>
      </c>
      <c r="F1242" s="1">
        <f t="shared" si="77"/>
        <v>0.43384396499910638</v>
      </c>
    </row>
    <row r="1243" spans="1:6" x14ac:dyDescent="0.35">
      <c r="A1243" s="2">
        <v>46062</v>
      </c>
      <c r="B1243">
        <v>6.7701020706199492E-3</v>
      </c>
      <c r="C1243">
        <f t="shared" si="78"/>
        <v>14435.512349954926</v>
      </c>
      <c r="D1243">
        <f t="shared" si="79"/>
        <v>14489.6742877754</v>
      </c>
      <c r="E1243">
        <f t="shared" si="76"/>
        <v>-3.7379679311473346E-3</v>
      </c>
      <c r="F1243" s="1">
        <f t="shared" si="77"/>
        <v>0.44355123499549265</v>
      </c>
    </row>
    <row r="1244" spans="1:6" x14ac:dyDescent="0.35">
      <c r="A1244" s="2">
        <v>46063</v>
      </c>
      <c r="B1244">
        <v>8.4389053104924985E-4</v>
      </c>
      <c r="C1244">
        <f t="shared" si="78"/>
        <v>14447.694342137898</v>
      </c>
      <c r="D1244">
        <f t="shared" si="79"/>
        <v>14489.6742877754</v>
      </c>
      <c r="E1244">
        <f t="shared" si="76"/>
        <v>-2.8972318358404525E-3</v>
      </c>
      <c r="F1244" s="1">
        <f t="shared" si="77"/>
        <v>0.44476943421378978</v>
      </c>
    </row>
    <row r="1245" spans="1:6" x14ac:dyDescent="0.35">
      <c r="A1245" s="2">
        <v>46064</v>
      </c>
      <c r="B1245">
        <v>2.2040092134064E-3</v>
      </c>
      <c r="C1245">
        <f t="shared" si="78"/>
        <v>14479.537193580449</v>
      </c>
      <c r="D1245">
        <f t="shared" si="79"/>
        <v>14489.6742877754</v>
      </c>
      <c r="E1245">
        <f t="shared" si="76"/>
        <v>-6.9960814809366667E-4</v>
      </c>
      <c r="F1245" s="1">
        <f t="shared" si="77"/>
        <v>0.44795371935804496</v>
      </c>
    </row>
    <row r="1246" spans="1:6" x14ac:dyDescent="0.35">
      <c r="A1246" s="2">
        <v>46065</v>
      </c>
      <c r="B1246">
        <v>-9.2318601839297167E-3</v>
      </c>
      <c r="C1246">
        <f t="shared" si="78"/>
        <v>14345.864130681304</v>
      </c>
      <c r="D1246">
        <f t="shared" si="79"/>
        <v>14489.6742877754</v>
      </c>
      <c r="E1246">
        <f t="shared" si="76"/>
        <v>-9.925009647416716E-3</v>
      </c>
      <c r="F1246" s="1">
        <f t="shared" si="77"/>
        <v>0.43458641306813051</v>
      </c>
    </row>
    <row r="1247" spans="1:6" x14ac:dyDescent="0.35">
      <c r="A1247" s="2">
        <v>46066</v>
      </c>
      <c r="B1247">
        <v>6.4369885415975084E-3</v>
      </c>
      <c r="C1247">
        <f t="shared" si="78"/>
        <v>14438.208293709815</v>
      </c>
      <c r="D1247">
        <f t="shared" si="79"/>
        <v>14489.6742877754</v>
      </c>
      <c r="E1247">
        <f t="shared" si="76"/>
        <v>-3.5519082791948264E-3</v>
      </c>
      <c r="F1247" s="1">
        <f t="shared" si="77"/>
        <v>0.44382082937098155</v>
      </c>
    </row>
    <row r="1248" spans="1:6" x14ac:dyDescent="0.35">
      <c r="A1248" s="2">
        <v>46070</v>
      </c>
      <c r="B1248">
        <v>-2.9278275577930761E-3</v>
      </c>
      <c r="C1248">
        <f t="shared" si="78"/>
        <v>14395.935709582334</v>
      </c>
      <c r="D1248">
        <f t="shared" si="79"/>
        <v>14489.6742877754</v>
      </c>
      <c r="E1248">
        <f t="shared" si="76"/>
        <v>-6.4693364620452831E-3</v>
      </c>
      <c r="F1248" s="1">
        <f t="shared" si="77"/>
        <v>0.43959357095823348</v>
      </c>
    </row>
    <row r="1249" spans="1:6" x14ac:dyDescent="0.35">
      <c r="A1249" s="2">
        <v>46071</v>
      </c>
      <c r="B1249">
        <v>4.4983363823427073E-3</v>
      </c>
      <c r="C1249">
        <f t="shared" si="78"/>
        <v>14460.693470942615</v>
      </c>
      <c r="D1249">
        <f t="shared" si="79"/>
        <v>14489.6742877754</v>
      </c>
      <c r="E1249">
        <f t="shared" si="76"/>
        <v>-2.0001013312794802E-3</v>
      </c>
      <c r="F1249" s="1">
        <f t="shared" si="77"/>
        <v>0.4460693470942616</v>
      </c>
    </row>
    <row r="1250" spans="1:6" x14ac:dyDescent="0.35">
      <c r="A1250" s="2">
        <v>46072</v>
      </c>
      <c r="B1250">
        <v>2.9035982985229161E-4</v>
      </c>
      <c r="C1250">
        <f t="shared" si="78"/>
        <v>14464.892275438384</v>
      </c>
      <c r="D1250">
        <f t="shared" si="79"/>
        <v>14489.6742877754</v>
      </c>
      <c r="E1250">
        <f t="shared" si="76"/>
        <v>-1.7103222505093774E-3</v>
      </c>
      <c r="F1250" s="1">
        <f t="shared" si="77"/>
        <v>0.44648922754383835</v>
      </c>
    </row>
    <row r="1251" spans="1:6" x14ac:dyDescent="0.35">
      <c r="A1251" s="2">
        <v>46073</v>
      </c>
      <c r="B1251">
        <v>6.4491537756405934E-3</v>
      </c>
      <c r="C1251">
        <f t="shared" si="78"/>
        <v>14558.178590070762</v>
      </c>
      <c r="D1251">
        <f t="shared" si="79"/>
        <v>14558.178590070762</v>
      </c>
      <c r="E1251">
        <f t="shared" si="76"/>
        <v>0</v>
      </c>
      <c r="F1251" s="1">
        <f t="shared" si="77"/>
        <v>0.45581785900707628</v>
      </c>
    </row>
    <row r="1252" spans="1:6" x14ac:dyDescent="0.35">
      <c r="A1252" s="2">
        <v>46076</v>
      </c>
      <c r="B1252">
        <v>-1.0932511084491251E-3</v>
      </c>
      <c r="C1252">
        <f t="shared" si="78"/>
        <v>14542.262845190166</v>
      </c>
      <c r="D1252">
        <f t="shared" si="79"/>
        <v>14558.178590070762</v>
      </c>
      <c r="E1252">
        <f t="shared" si="76"/>
        <v>-1.0932511084491559E-3</v>
      </c>
      <c r="F1252" s="1">
        <f t="shared" si="77"/>
        <v>0.45422628451901659</v>
      </c>
    </row>
    <row r="1253" spans="1:6" x14ac:dyDescent="0.35">
      <c r="A1253" s="2">
        <v>46077</v>
      </c>
      <c r="B1253">
        <v>2.874205024234992E-3</v>
      </c>
      <c r="C1253">
        <f t="shared" si="78"/>
        <v>14584.060290123556</v>
      </c>
      <c r="D1253">
        <f t="shared" si="79"/>
        <v>14584.060290123556</v>
      </c>
      <c r="E1253">
        <f t="shared" si="76"/>
        <v>0</v>
      </c>
      <c r="F1253" s="1">
        <f t="shared" si="77"/>
        <v>0.45840602901235572</v>
      </c>
    </row>
    <row r="1254" spans="1:6" x14ac:dyDescent="0.35">
      <c r="A1254" s="2">
        <v>46078</v>
      </c>
      <c r="B1254">
        <v>3.7173339376076332E-3</v>
      </c>
      <c r="C1254">
        <f t="shared" si="78"/>
        <v>14638.274112388146</v>
      </c>
      <c r="D1254">
        <f t="shared" si="79"/>
        <v>14638.274112388146</v>
      </c>
      <c r="E1254">
        <f t="shared" si="76"/>
        <v>0</v>
      </c>
      <c r="F1254" s="1">
        <f t="shared" si="77"/>
        <v>0.46382741123881455</v>
      </c>
    </row>
    <row r="1255" spans="1:6" x14ac:dyDescent="0.35">
      <c r="A1255" s="2">
        <v>46079</v>
      </c>
      <c r="B1255">
        <v>-2.9214635628583359E-5</v>
      </c>
      <c r="C1255">
        <f t="shared" si="78"/>
        <v>14637.846460543722</v>
      </c>
      <c r="D1255">
        <f t="shared" si="79"/>
        <v>14638.274112388146</v>
      </c>
      <c r="E1255">
        <f t="shared" si="76"/>
        <v>-2.9214635628549424E-5</v>
      </c>
      <c r="F1255" s="1">
        <f t="shared" si="77"/>
        <v>0.4637846460543722</v>
      </c>
    </row>
    <row r="1256" spans="1:6" x14ac:dyDescent="0.35">
      <c r="A1256" s="2">
        <v>46080</v>
      </c>
      <c r="B1256">
        <v>6.3931383949330817E-4</v>
      </c>
      <c r="C1256">
        <f>C1255*(1+B1256)</f>
        <v>14647.204638366326</v>
      </c>
      <c r="D1256">
        <f t="shared" si="79"/>
        <v>14647.204638366326</v>
      </c>
      <c r="E1256">
        <f t="shared" si="76"/>
        <v>0</v>
      </c>
      <c r="F1256" s="1">
        <f t="shared" si="77"/>
        <v>0.46472046383663246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1E0C-7DB0-4BFC-8AC6-695972A8786D}">
  <sheetPr>
    <pageSetUpPr fitToPage="1"/>
  </sheetPr>
  <dimension ref="A1:X25"/>
  <sheetViews>
    <sheetView showGridLines="0" tabSelected="1" topLeftCell="A2" zoomScale="70" zoomScaleNormal="70" workbookViewId="0">
      <selection activeCell="N27" sqref="N27"/>
    </sheetView>
  </sheetViews>
  <sheetFormatPr defaultRowHeight="14.5" x14ac:dyDescent="0.35"/>
  <cols>
    <col min="1" max="1" width="55.36328125" customWidth="1"/>
    <col min="2" max="2" width="8.7265625" style="3"/>
    <col min="4" max="4" width="9.1796875" customWidth="1"/>
    <col min="5" max="5" width="19.7265625" style="3" customWidth="1"/>
    <col min="8" max="8" width="8.7265625" style="3"/>
    <col min="11" max="11" width="8.7265625" style="3"/>
    <col min="17" max="17" width="9.453125" customWidth="1"/>
  </cols>
  <sheetData>
    <row r="1" spans="1:24" x14ac:dyDescent="0.35">
      <c r="A1" s="5" t="s">
        <v>29</v>
      </c>
      <c r="B1" s="10" t="s">
        <v>52</v>
      </c>
      <c r="E1" s="10" t="s">
        <v>7</v>
      </c>
      <c r="H1" s="10" t="s">
        <v>32</v>
      </c>
      <c r="K1" s="10" t="s">
        <v>33</v>
      </c>
      <c r="N1" s="5" t="s">
        <v>5</v>
      </c>
      <c r="Q1" s="5" t="s">
        <v>31</v>
      </c>
      <c r="U1" s="5" t="s">
        <v>53</v>
      </c>
    </row>
    <row r="2" spans="1:24" ht="26" x14ac:dyDescent="0.6">
      <c r="A2" s="5" t="s">
        <v>30</v>
      </c>
      <c r="B2" s="4">
        <f>Summary!B14</f>
        <v>0.1078445441710108</v>
      </c>
      <c r="E2" s="14">
        <f>Summary!C14</f>
        <v>-0.21520667554371911</v>
      </c>
      <c r="H2" s="4">
        <f>Summary!D14</f>
        <v>1.045094746869844E-2</v>
      </c>
      <c r="K2" s="4">
        <f>Summary!E14</f>
        <v>1.528326018988327E-2</v>
      </c>
      <c r="N2" s="4">
        <f>Portfolio_Calc!H14</f>
        <v>0.46472046383663246</v>
      </c>
      <c r="Q2" s="8" t="str">
        <f>Sheet1!R2</f>
        <v>QQQ - SPY (0.95)</v>
      </c>
      <c r="R2" s="9"/>
      <c r="S2" s="9"/>
      <c r="U2" s="15">
        <v>0.5</v>
      </c>
    </row>
    <row r="3" spans="1:24" x14ac:dyDescent="0.35">
      <c r="A3" s="7">
        <v>46080</v>
      </c>
    </row>
    <row r="5" spans="1:24" ht="16" x14ac:dyDescent="0.4">
      <c r="L5" s="11" t="s">
        <v>34</v>
      </c>
      <c r="M5" s="11" t="s">
        <v>17</v>
      </c>
      <c r="N5" s="11" t="s">
        <v>18</v>
      </c>
      <c r="O5" s="11" t="s">
        <v>19</v>
      </c>
      <c r="P5" s="11" t="s">
        <v>20</v>
      </c>
      <c r="Q5" s="11" t="s">
        <v>21</v>
      </c>
      <c r="R5" s="11" t="s">
        <v>22</v>
      </c>
      <c r="S5" s="11" t="s">
        <v>23</v>
      </c>
      <c r="T5" s="11" t="s">
        <v>24</v>
      </c>
      <c r="U5" s="11" t="s">
        <v>25</v>
      </c>
      <c r="V5" s="11" t="s">
        <v>26</v>
      </c>
      <c r="W5" s="11" t="s">
        <v>27</v>
      </c>
      <c r="X5" s="11" t="s">
        <v>28</v>
      </c>
    </row>
    <row r="6" spans="1:24" ht="16" x14ac:dyDescent="0.4">
      <c r="L6" s="11" t="s">
        <v>17</v>
      </c>
      <c r="M6" s="11">
        <v>1</v>
      </c>
      <c r="N6" s="11">
        <v>0.29489127090030498</v>
      </c>
      <c r="O6" s="11">
        <v>0.26152309882603297</v>
      </c>
      <c r="P6" s="11">
        <v>0.38083818463824898</v>
      </c>
      <c r="Q6" s="11">
        <v>0.20356816199017269</v>
      </c>
      <c r="R6" s="11">
        <v>-6.2907501706231023E-2</v>
      </c>
      <c r="S6" s="11">
        <v>0.2482326289525266</v>
      </c>
      <c r="T6" s="11">
        <v>1.7414272865209319E-2</v>
      </c>
      <c r="U6" s="11">
        <v>0.17611701193608481</v>
      </c>
      <c r="V6" s="11">
        <v>0.23726768167599629</v>
      </c>
      <c r="W6" s="11">
        <v>-9.1576708159930326E-2</v>
      </c>
      <c r="X6" s="11">
        <v>0.1486173475391413</v>
      </c>
    </row>
    <row r="7" spans="1:24" ht="16" x14ac:dyDescent="0.4">
      <c r="L7" s="11" t="s">
        <v>18</v>
      </c>
      <c r="M7" s="11">
        <v>0.29489127090030498</v>
      </c>
      <c r="N7" s="11">
        <v>1</v>
      </c>
      <c r="O7" s="11">
        <v>0.78272794549461755</v>
      </c>
      <c r="P7" s="11">
        <v>0.30154226487880498</v>
      </c>
      <c r="Q7" s="11">
        <v>0.58073329211270119</v>
      </c>
      <c r="R7" s="11">
        <v>7.236980087973223E-2</v>
      </c>
      <c r="S7" s="11">
        <v>0.65130259298470228</v>
      </c>
      <c r="T7" s="11">
        <v>0.29669925524434182</v>
      </c>
      <c r="U7" s="11">
        <v>0.66994639288025204</v>
      </c>
      <c r="V7" s="11">
        <v>0.67288107644997908</v>
      </c>
      <c r="W7" s="11">
        <v>6.6379704277574628E-2</v>
      </c>
      <c r="X7" s="11">
        <v>0.47604199995451107</v>
      </c>
    </row>
    <row r="8" spans="1:24" ht="16" x14ac:dyDescent="0.4">
      <c r="L8" s="11" t="s">
        <v>19</v>
      </c>
      <c r="M8" s="11">
        <v>0.26152309882603297</v>
      </c>
      <c r="N8" s="11">
        <v>0.78272794549461755</v>
      </c>
      <c r="O8" s="11">
        <v>1</v>
      </c>
      <c r="P8" s="11">
        <v>0.27268464232090572</v>
      </c>
      <c r="Q8" s="11">
        <v>0.70436409196650329</v>
      </c>
      <c r="R8" s="11">
        <v>0.13377180157962379</v>
      </c>
      <c r="S8" s="11">
        <v>0.74749713850337673</v>
      </c>
      <c r="T8" s="11">
        <v>0.38813505369487489</v>
      </c>
      <c r="U8" s="11">
        <v>0.7291451206620857</v>
      </c>
      <c r="V8" s="11">
        <v>0.80451146121803663</v>
      </c>
      <c r="W8" s="11">
        <v>0.1099600603702077</v>
      </c>
      <c r="X8" s="11">
        <v>0.64277113591806123</v>
      </c>
    </row>
    <row r="9" spans="1:24" ht="16" x14ac:dyDescent="0.4">
      <c r="L9" s="11" t="s">
        <v>20</v>
      </c>
      <c r="M9" s="11">
        <v>0.38083818463824898</v>
      </c>
      <c r="N9" s="11">
        <v>0.30154226487880498</v>
      </c>
      <c r="O9" s="11">
        <v>0.27268464232090572</v>
      </c>
      <c r="P9" s="11">
        <v>1</v>
      </c>
      <c r="Q9" s="11">
        <v>0.21962673922892631</v>
      </c>
      <c r="R9" s="11">
        <v>0.30337620270945698</v>
      </c>
      <c r="S9" s="11">
        <v>0.13746248541288469</v>
      </c>
      <c r="T9" s="11">
        <v>0.27914136582463839</v>
      </c>
      <c r="U9" s="11">
        <v>0.1099585728199084</v>
      </c>
      <c r="V9" s="11">
        <v>0.1163524389535137</v>
      </c>
      <c r="W9" s="11">
        <v>0.220568317848781</v>
      </c>
      <c r="X9" s="11">
        <v>0.1699092302965314</v>
      </c>
    </row>
    <row r="10" spans="1:24" ht="16" x14ac:dyDescent="0.4">
      <c r="L10" s="11" t="s">
        <v>21</v>
      </c>
      <c r="M10" s="11">
        <v>0.20356816199017269</v>
      </c>
      <c r="N10" s="11">
        <v>0.58073329211270119</v>
      </c>
      <c r="O10" s="11">
        <v>0.70436409196650329</v>
      </c>
      <c r="P10" s="11">
        <v>0.21962673922892631</v>
      </c>
      <c r="Q10" s="11">
        <v>1</v>
      </c>
      <c r="R10" s="11">
        <v>0.4447275335058864</v>
      </c>
      <c r="S10" s="11">
        <v>0.70620924863282541</v>
      </c>
      <c r="T10" s="11">
        <v>0.68747331684507551</v>
      </c>
      <c r="U10" s="11">
        <v>0.70782110565581935</v>
      </c>
      <c r="V10" s="11">
        <v>0.75031475150023041</v>
      </c>
      <c r="W10" s="11">
        <v>0.39673809875970251</v>
      </c>
      <c r="X10" s="11">
        <v>0.66913457969871981</v>
      </c>
    </row>
    <row r="11" spans="1:24" ht="16" x14ac:dyDescent="0.4">
      <c r="L11" s="11" t="s">
        <v>22</v>
      </c>
      <c r="M11" s="11">
        <v>-6.2907501706231023E-2</v>
      </c>
      <c r="N11" s="11">
        <v>7.236980087973223E-2</v>
      </c>
      <c r="O11" s="11">
        <v>0.13377180157962379</v>
      </c>
      <c r="P11" s="11">
        <v>0.30337620270945698</v>
      </c>
      <c r="Q11" s="11">
        <v>0.4447275335058864</v>
      </c>
      <c r="R11" s="11">
        <v>1</v>
      </c>
      <c r="S11" s="11">
        <v>7.7328970795798535E-2</v>
      </c>
      <c r="T11" s="11">
        <v>0.88104883560863079</v>
      </c>
      <c r="U11" s="11">
        <v>7.3203321548179656E-2</v>
      </c>
      <c r="V11" s="11">
        <v>6.4217833844964906E-2</v>
      </c>
      <c r="W11" s="11">
        <v>0.91132331609875816</v>
      </c>
      <c r="X11" s="11">
        <v>0.28947978722789941</v>
      </c>
    </row>
    <row r="12" spans="1:24" ht="16" x14ac:dyDescent="0.4">
      <c r="L12" s="11" t="s">
        <v>23</v>
      </c>
      <c r="M12" s="11">
        <v>0.2482326289525266</v>
      </c>
      <c r="N12" s="11">
        <v>0.65130259298470228</v>
      </c>
      <c r="O12" s="11">
        <v>0.74749713850337673</v>
      </c>
      <c r="P12" s="11">
        <v>0.13746248541288469</v>
      </c>
      <c r="Q12" s="11">
        <v>0.70620924863282541</v>
      </c>
      <c r="R12" s="11">
        <v>7.7328970795798535E-2</v>
      </c>
      <c r="S12" s="11">
        <v>1</v>
      </c>
      <c r="T12" s="11">
        <v>0.34385452194850391</v>
      </c>
      <c r="U12" s="11">
        <v>0.75977924301881261</v>
      </c>
      <c r="V12" s="11">
        <v>0.8392301853361237</v>
      </c>
      <c r="W12" s="11">
        <v>7.4641039375419091E-2</v>
      </c>
      <c r="X12" s="11">
        <v>0.70773446006395058</v>
      </c>
    </row>
    <row r="13" spans="1:24" ht="16" x14ac:dyDescent="0.4">
      <c r="L13" s="11" t="s">
        <v>24</v>
      </c>
      <c r="M13" s="11">
        <v>1.7414272865209319E-2</v>
      </c>
      <c r="N13" s="11">
        <v>0.29669925524434182</v>
      </c>
      <c r="O13" s="11">
        <v>0.38813505369487489</v>
      </c>
      <c r="P13" s="11">
        <v>0.27914136582463839</v>
      </c>
      <c r="Q13" s="11">
        <v>0.68747331684507551</v>
      </c>
      <c r="R13" s="11">
        <v>0.88104883560863079</v>
      </c>
      <c r="S13" s="11">
        <v>0.34385452194850391</v>
      </c>
      <c r="T13" s="11">
        <v>1</v>
      </c>
      <c r="U13" s="11">
        <v>0.34771354688973988</v>
      </c>
      <c r="V13" s="11">
        <v>0.35832991157223321</v>
      </c>
      <c r="W13" s="11">
        <v>0.8771078914409306</v>
      </c>
      <c r="X13" s="11">
        <v>0.47213661320182287</v>
      </c>
    </row>
    <row r="14" spans="1:24" ht="16" x14ac:dyDescent="0.4">
      <c r="L14" s="11" t="s">
        <v>25</v>
      </c>
      <c r="M14" s="11">
        <v>0.17611701193608481</v>
      </c>
      <c r="N14" s="11">
        <v>0.66994639288025204</v>
      </c>
      <c r="O14" s="11">
        <v>0.7291451206620857</v>
      </c>
      <c r="P14" s="11">
        <v>0.1099585728199084</v>
      </c>
      <c r="Q14" s="11">
        <v>0.70782110565581935</v>
      </c>
      <c r="R14" s="11">
        <v>7.3203321548179656E-2</v>
      </c>
      <c r="S14" s="11">
        <v>0.75977924301881261</v>
      </c>
      <c r="T14" s="11">
        <v>0.34771354688973988</v>
      </c>
      <c r="U14" s="11">
        <v>1</v>
      </c>
      <c r="V14" s="11">
        <v>0.94743684112341908</v>
      </c>
      <c r="W14" s="11">
        <v>7.3653034984723087E-2</v>
      </c>
      <c r="X14" s="11">
        <v>0.55533642402779448</v>
      </c>
    </row>
    <row r="15" spans="1:24" ht="16" x14ac:dyDescent="0.4">
      <c r="L15" s="11" t="s">
        <v>26</v>
      </c>
      <c r="M15" s="11">
        <v>0.23726768167599629</v>
      </c>
      <c r="N15" s="11">
        <v>0.67288107644997908</v>
      </c>
      <c r="O15" s="11">
        <v>0.80451146121803663</v>
      </c>
      <c r="P15" s="11">
        <v>0.1163524389535137</v>
      </c>
      <c r="Q15" s="11">
        <v>0.75031475150023041</v>
      </c>
      <c r="R15" s="11">
        <v>6.4217833844964906E-2</v>
      </c>
      <c r="S15" s="11">
        <v>0.8392301853361237</v>
      </c>
      <c r="T15" s="11">
        <v>0.35832991157223321</v>
      </c>
      <c r="U15" s="11">
        <v>0.94743684112341908</v>
      </c>
      <c r="V15" s="11">
        <v>1</v>
      </c>
      <c r="W15" s="11">
        <v>6.4741952659241153E-2</v>
      </c>
      <c r="X15" s="11">
        <v>0.68349042171578045</v>
      </c>
    </row>
    <row r="16" spans="1:24" ht="16" x14ac:dyDescent="0.4">
      <c r="L16" s="11" t="s">
        <v>27</v>
      </c>
      <c r="M16" s="11">
        <v>-9.1576708159930326E-2</v>
      </c>
      <c r="N16" s="11">
        <v>6.6379704277574628E-2</v>
      </c>
      <c r="O16" s="11">
        <v>0.1099600603702077</v>
      </c>
      <c r="P16" s="11">
        <v>0.220568317848781</v>
      </c>
      <c r="Q16" s="11">
        <v>0.39673809875970251</v>
      </c>
      <c r="R16" s="11">
        <v>0.91132331609875816</v>
      </c>
      <c r="S16" s="11">
        <v>7.4641039375419091E-2</v>
      </c>
      <c r="T16" s="11">
        <v>0.8771078914409306</v>
      </c>
      <c r="U16" s="11">
        <v>7.3653034984723087E-2</v>
      </c>
      <c r="V16" s="11">
        <v>6.4741952659241153E-2</v>
      </c>
      <c r="W16" s="11">
        <v>1</v>
      </c>
      <c r="X16" s="11">
        <v>0.26818060286649348</v>
      </c>
    </row>
    <row r="17" spans="4:24" ht="16" x14ac:dyDescent="0.4">
      <c r="L17" s="11" t="s">
        <v>28</v>
      </c>
      <c r="M17" s="11">
        <v>0.1486173475391413</v>
      </c>
      <c r="N17" s="11">
        <v>0.47604199995451107</v>
      </c>
      <c r="O17" s="11">
        <v>0.64277113591806123</v>
      </c>
      <c r="P17" s="11">
        <v>0.1699092302965314</v>
      </c>
      <c r="Q17" s="11">
        <v>0.66913457969871981</v>
      </c>
      <c r="R17" s="11">
        <v>0.28947978722789941</v>
      </c>
      <c r="S17" s="11">
        <v>0.70773446006395058</v>
      </c>
      <c r="T17" s="11">
        <v>0.47213661320182287</v>
      </c>
      <c r="U17" s="11">
        <v>0.55533642402779448</v>
      </c>
      <c r="V17" s="11">
        <v>0.68349042171578045</v>
      </c>
      <c r="W17" s="11">
        <v>0.26818060286649348</v>
      </c>
      <c r="X17" s="11">
        <v>1</v>
      </c>
    </row>
    <row r="19" spans="4:24" x14ac:dyDescent="0.35">
      <c r="D19" s="5" t="s">
        <v>45</v>
      </c>
      <c r="E19" s="13"/>
    </row>
    <row r="20" spans="4:24" x14ac:dyDescent="0.35">
      <c r="D20" s="5" t="s">
        <v>46</v>
      </c>
      <c r="E20" s="13"/>
    </row>
    <row r="21" spans="4:24" x14ac:dyDescent="0.35">
      <c r="D21" s="5" t="s">
        <v>47</v>
      </c>
    </row>
    <row r="22" spans="4:24" x14ac:dyDescent="0.35">
      <c r="D22" s="5" t="s">
        <v>48</v>
      </c>
    </row>
    <row r="23" spans="4:24" x14ac:dyDescent="0.35">
      <c r="D23" s="5" t="s">
        <v>49</v>
      </c>
    </row>
    <row r="24" spans="4:24" x14ac:dyDescent="0.35">
      <c r="D24" s="5" t="s">
        <v>50</v>
      </c>
    </row>
    <row r="25" spans="4:24" x14ac:dyDescent="0.35">
      <c r="D25" s="5" t="s">
        <v>51</v>
      </c>
    </row>
  </sheetData>
  <conditionalFormatting sqref="L5:X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A883-B1D4-409F-9734-3AD37BFF572F}">
  <dimension ref="A1:R13"/>
  <sheetViews>
    <sheetView zoomScale="90" zoomScaleNormal="90" workbookViewId="0">
      <selection activeCell="R2" sqref="R2"/>
    </sheetView>
  </sheetViews>
  <sheetFormatPr defaultRowHeight="14.5" x14ac:dyDescent="0.35"/>
  <sheetData>
    <row r="1" spans="1:18" x14ac:dyDescent="0.35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8" x14ac:dyDescent="0.35">
      <c r="A2" t="s">
        <v>17</v>
      </c>
      <c r="B2">
        <v>1</v>
      </c>
      <c r="C2">
        <v>0.29489127090030498</v>
      </c>
      <c r="D2">
        <v>0.26152309882603297</v>
      </c>
      <c r="E2">
        <v>0.38083818463824898</v>
      </c>
      <c r="F2">
        <v>0.20356816199017269</v>
      </c>
      <c r="G2">
        <v>-6.2907501706231023E-2</v>
      </c>
      <c r="H2">
        <v>0.2482326289525266</v>
      </c>
      <c r="I2">
        <v>1.7414272865209319E-2</v>
      </c>
      <c r="J2">
        <v>0.17611701193608481</v>
      </c>
      <c r="K2">
        <v>0.23726768167599629</v>
      </c>
      <c r="L2">
        <v>-9.1576708159930326E-2</v>
      </c>
      <c r="M2">
        <v>0.1486173475391413</v>
      </c>
      <c r="O2" s="6" cm="1">
        <f t="array" ref="O2">_xlfn.AGGREGATE(14,6,B2:M13/(B2:M13&lt;0.999),1)</f>
        <v>0.94743684112341908</v>
      </c>
      <c r="P2" t="str" cm="1">
        <f t="array" ref="P2">_xlfn.LET(_xlpm.m,$O$2, _xlpm.pos, _xlfn.XMATCH(_xlpm.m, _xlfn.TOCOL($B$2:$M$13,1), 0), _xlpm.r, INT((_xlpm.pos-1)/COLUMNS($B$2:$M$13))+1, INDEX($A$2:$A$13, _xlpm.r))</f>
        <v>QQQ</v>
      </c>
      <c r="Q2" t="str" cm="1">
        <f t="array" ref="Q2">_xlfn.LET(_xlpm.m,$O$2, _xlpm.pos, _xlfn.XMATCH(_xlpm.m, _xlfn.TOCOL($B$2:$M$13,1), 0), _xlpm.c, MOD(_xlpm.pos-1, COLUMNS($B$2:$M$13))+1, INDEX($B$1:$M$1, _xlpm.c))</f>
        <v>SPY</v>
      </c>
      <c r="R2" t="str">
        <f>P2&amp;" - "&amp;Q2&amp;" ("&amp;TEXT($O$2,"0.00")&amp;")"</f>
        <v>QQQ - SPY (0.95)</v>
      </c>
    </row>
    <row r="3" spans="1:18" x14ac:dyDescent="0.35">
      <c r="A3" t="s">
        <v>18</v>
      </c>
      <c r="B3">
        <v>0.29489127090030498</v>
      </c>
      <c r="C3">
        <v>1</v>
      </c>
      <c r="D3">
        <v>0.78272794549461755</v>
      </c>
      <c r="E3">
        <v>0.30154226487880498</v>
      </c>
      <c r="F3">
        <v>0.58073329211270119</v>
      </c>
      <c r="G3">
        <v>7.236980087973223E-2</v>
      </c>
      <c r="H3">
        <v>0.65130259298470228</v>
      </c>
      <c r="I3">
        <v>0.29669925524434182</v>
      </c>
      <c r="J3">
        <v>0.66994639288025204</v>
      </c>
      <c r="K3">
        <v>0.67288107644997908</v>
      </c>
      <c r="L3">
        <v>6.6379704277574628E-2</v>
      </c>
      <c r="M3">
        <v>0.47604199995451107</v>
      </c>
    </row>
    <row r="4" spans="1:18" x14ac:dyDescent="0.35">
      <c r="A4" t="s">
        <v>19</v>
      </c>
      <c r="B4">
        <v>0.26152309882603297</v>
      </c>
      <c r="C4">
        <v>0.78272794549461755</v>
      </c>
      <c r="D4">
        <v>1</v>
      </c>
      <c r="E4">
        <v>0.27268464232090572</v>
      </c>
      <c r="F4">
        <v>0.70436409196650329</v>
      </c>
      <c r="G4">
        <v>0.13377180157962379</v>
      </c>
      <c r="H4">
        <v>0.74749713850337673</v>
      </c>
      <c r="I4">
        <v>0.38813505369487489</v>
      </c>
      <c r="J4">
        <v>0.7291451206620857</v>
      </c>
      <c r="K4">
        <v>0.80451146121803663</v>
      </c>
      <c r="L4">
        <v>0.1099600603702077</v>
      </c>
      <c r="M4">
        <v>0.64277113591806123</v>
      </c>
    </row>
    <row r="5" spans="1:18" x14ac:dyDescent="0.35">
      <c r="A5" t="s">
        <v>20</v>
      </c>
      <c r="B5">
        <v>0.38083818463824898</v>
      </c>
      <c r="C5">
        <v>0.30154226487880498</v>
      </c>
      <c r="D5">
        <v>0.27268464232090572</v>
      </c>
      <c r="E5">
        <v>1</v>
      </c>
      <c r="F5">
        <v>0.21962673922892631</v>
      </c>
      <c r="G5">
        <v>0.30337620270945698</v>
      </c>
      <c r="H5">
        <v>0.13746248541288469</v>
      </c>
      <c r="I5">
        <v>0.27914136582463839</v>
      </c>
      <c r="J5">
        <v>0.1099585728199084</v>
      </c>
      <c r="K5">
        <v>0.1163524389535137</v>
      </c>
      <c r="L5">
        <v>0.220568317848781</v>
      </c>
      <c r="M5">
        <v>0.1699092302965314</v>
      </c>
    </row>
    <row r="6" spans="1:18" x14ac:dyDescent="0.35">
      <c r="A6" t="s">
        <v>21</v>
      </c>
      <c r="B6">
        <v>0.20356816199017269</v>
      </c>
      <c r="C6">
        <v>0.58073329211270119</v>
      </c>
      <c r="D6">
        <v>0.70436409196650329</v>
      </c>
      <c r="E6">
        <v>0.21962673922892631</v>
      </c>
      <c r="F6">
        <v>1</v>
      </c>
      <c r="G6">
        <v>0.4447275335058864</v>
      </c>
      <c r="H6">
        <v>0.70620924863282541</v>
      </c>
      <c r="I6">
        <v>0.68747331684507551</v>
      </c>
      <c r="J6">
        <v>0.70782110565581935</v>
      </c>
      <c r="K6">
        <v>0.75031475150023041</v>
      </c>
      <c r="L6">
        <v>0.39673809875970251</v>
      </c>
      <c r="M6">
        <v>0.66913457969871981</v>
      </c>
    </row>
    <row r="7" spans="1:18" x14ac:dyDescent="0.35">
      <c r="A7" t="s">
        <v>22</v>
      </c>
      <c r="B7">
        <v>-6.2907501706231023E-2</v>
      </c>
      <c r="C7">
        <v>7.236980087973223E-2</v>
      </c>
      <c r="D7">
        <v>0.13377180157962379</v>
      </c>
      <c r="E7">
        <v>0.30337620270945698</v>
      </c>
      <c r="F7">
        <v>0.4447275335058864</v>
      </c>
      <c r="G7">
        <v>1</v>
      </c>
      <c r="H7">
        <v>7.7328970795798535E-2</v>
      </c>
      <c r="I7">
        <v>0.88104883560863079</v>
      </c>
      <c r="J7">
        <v>7.3203321548179656E-2</v>
      </c>
      <c r="K7">
        <v>6.4217833844964906E-2</v>
      </c>
      <c r="L7">
        <v>0.91132331609875816</v>
      </c>
      <c r="M7">
        <v>0.28947978722789941</v>
      </c>
    </row>
    <row r="8" spans="1:18" x14ac:dyDescent="0.35">
      <c r="A8" t="s">
        <v>23</v>
      </c>
      <c r="B8">
        <v>0.2482326289525266</v>
      </c>
      <c r="C8">
        <v>0.65130259298470228</v>
      </c>
      <c r="D8">
        <v>0.74749713850337673</v>
      </c>
      <c r="E8">
        <v>0.13746248541288469</v>
      </c>
      <c r="F8">
        <v>0.70620924863282541</v>
      </c>
      <c r="G8">
        <v>7.7328970795798535E-2</v>
      </c>
      <c r="H8">
        <v>1</v>
      </c>
      <c r="I8">
        <v>0.34385452194850391</v>
      </c>
      <c r="J8">
        <v>0.75977924301881261</v>
      </c>
      <c r="K8">
        <v>0.8392301853361237</v>
      </c>
      <c r="L8">
        <v>7.4641039375419091E-2</v>
      </c>
      <c r="M8">
        <v>0.70773446006395058</v>
      </c>
    </row>
    <row r="9" spans="1:18" x14ac:dyDescent="0.35">
      <c r="A9" t="s">
        <v>24</v>
      </c>
      <c r="B9">
        <v>1.7414272865209319E-2</v>
      </c>
      <c r="C9">
        <v>0.29669925524434182</v>
      </c>
      <c r="D9">
        <v>0.38813505369487489</v>
      </c>
      <c r="E9">
        <v>0.27914136582463839</v>
      </c>
      <c r="F9">
        <v>0.68747331684507551</v>
      </c>
      <c r="G9">
        <v>0.88104883560863079</v>
      </c>
      <c r="H9">
        <v>0.34385452194850391</v>
      </c>
      <c r="I9">
        <v>1</v>
      </c>
      <c r="J9">
        <v>0.34771354688973988</v>
      </c>
      <c r="K9">
        <v>0.35832991157223321</v>
      </c>
      <c r="L9">
        <v>0.8771078914409306</v>
      </c>
      <c r="M9">
        <v>0.47213661320182287</v>
      </c>
    </row>
    <row r="10" spans="1:18" x14ac:dyDescent="0.35">
      <c r="A10" t="s">
        <v>25</v>
      </c>
      <c r="B10">
        <v>0.17611701193608481</v>
      </c>
      <c r="C10">
        <v>0.66994639288025204</v>
      </c>
      <c r="D10">
        <v>0.7291451206620857</v>
      </c>
      <c r="E10">
        <v>0.1099585728199084</v>
      </c>
      <c r="F10">
        <v>0.70782110565581935</v>
      </c>
      <c r="G10">
        <v>7.3203321548179656E-2</v>
      </c>
      <c r="H10">
        <v>0.75977924301881261</v>
      </c>
      <c r="I10">
        <v>0.34771354688973988</v>
      </c>
      <c r="J10">
        <v>1</v>
      </c>
      <c r="K10">
        <v>0.94743684112341908</v>
      </c>
      <c r="L10">
        <v>7.3653034984723087E-2</v>
      </c>
      <c r="M10">
        <v>0.55533642402779448</v>
      </c>
    </row>
    <row r="11" spans="1:18" x14ac:dyDescent="0.35">
      <c r="A11" t="s">
        <v>26</v>
      </c>
      <c r="B11">
        <v>0.23726768167599629</v>
      </c>
      <c r="C11">
        <v>0.67288107644997908</v>
      </c>
      <c r="D11">
        <v>0.80451146121803663</v>
      </c>
      <c r="E11">
        <v>0.1163524389535137</v>
      </c>
      <c r="F11">
        <v>0.75031475150023041</v>
      </c>
      <c r="G11">
        <v>6.4217833844964906E-2</v>
      </c>
      <c r="H11">
        <v>0.8392301853361237</v>
      </c>
      <c r="I11">
        <v>0.35832991157223321</v>
      </c>
      <c r="J11">
        <v>0.94743684112341908</v>
      </c>
      <c r="K11">
        <v>1</v>
      </c>
      <c r="L11">
        <v>6.4741952659241153E-2</v>
      </c>
      <c r="M11">
        <v>0.68349042171578045</v>
      </c>
    </row>
    <row r="12" spans="1:18" x14ac:dyDescent="0.35">
      <c r="A12" t="s">
        <v>27</v>
      </c>
      <c r="B12">
        <v>-9.1576708159930326E-2</v>
      </c>
      <c r="C12">
        <v>6.6379704277574628E-2</v>
      </c>
      <c r="D12">
        <v>0.1099600603702077</v>
      </c>
      <c r="E12">
        <v>0.220568317848781</v>
      </c>
      <c r="F12">
        <v>0.39673809875970251</v>
      </c>
      <c r="G12">
        <v>0.91132331609875816</v>
      </c>
      <c r="H12">
        <v>7.4641039375419091E-2</v>
      </c>
      <c r="I12">
        <v>0.8771078914409306</v>
      </c>
      <c r="J12">
        <v>7.3653034984723087E-2</v>
      </c>
      <c r="K12">
        <v>6.4741952659241153E-2</v>
      </c>
      <c r="L12">
        <v>1</v>
      </c>
      <c r="M12">
        <v>0.26818060286649348</v>
      </c>
    </row>
    <row r="13" spans="1:18" x14ac:dyDescent="0.35">
      <c r="A13" t="s">
        <v>28</v>
      </c>
      <c r="B13">
        <v>0.1486173475391413</v>
      </c>
      <c r="C13">
        <v>0.47604199995451107</v>
      </c>
      <c r="D13">
        <v>0.64277113591806123</v>
      </c>
      <c r="E13">
        <v>0.1699092302965314</v>
      </c>
      <c r="F13">
        <v>0.66913457969871981</v>
      </c>
      <c r="G13">
        <v>0.28947978722789941</v>
      </c>
      <c r="H13">
        <v>0.70773446006395058</v>
      </c>
      <c r="I13">
        <v>0.47213661320182287</v>
      </c>
      <c r="J13">
        <v>0.55533642402779448</v>
      </c>
      <c r="K13">
        <v>0.68349042171578045</v>
      </c>
      <c r="L13">
        <v>0.26818060286649348</v>
      </c>
      <c r="M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7695-810C-4C60-A5DD-77113EC1CDF3}">
  <dimension ref="A1:I14"/>
  <sheetViews>
    <sheetView workbookViewId="0">
      <selection activeCell="E19" sqref="E19"/>
    </sheetView>
  </sheetViews>
  <sheetFormatPr defaultRowHeight="14.5" x14ac:dyDescent="0.35"/>
  <cols>
    <col min="1" max="1" width="10.7265625" bestFit="1" customWidth="1"/>
    <col min="2" max="2" width="11.81640625" bestFit="1" customWidth="1"/>
    <col min="3" max="3" width="16.1796875" bestFit="1" customWidth="1"/>
    <col min="4" max="5" width="11.81640625" bestFit="1" customWidth="1"/>
    <col min="6" max="6" width="15.26953125" bestFit="1" customWidth="1"/>
    <col min="7" max="7" width="11.81640625" bestFit="1" customWidth="1"/>
    <col min="8" max="8" width="11" bestFit="1" customWidth="1"/>
    <col min="9" max="9" width="11.1796875" bestFit="1" customWidth="1"/>
  </cols>
  <sheetData>
    <row r="1" spans="1:9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5">
      <c r="A2" t="s">
        <v>17</v>
      </c>
      <c r="B2">
        <v>0.18930953198556319</v>
      </c>
      <c r="C2">
        <v>-0.27339879726079869</v>
      </c>
      <c r="D2">
        <v>1.841033576663767E-2</v>
      </c>
      <c r="E2">
        <v>2.8736479896604029E-2</v>
      </c>
      <c r="F2">
        <v>0.23726768167599599</v>
      </c>
      <c r="G2">
        <v>44257</v>
      </c>
      <c r="H2">
        <v>46080</v>
      </c>
      <c r="I2">
        <v>1255</v>
      </c>
    </row>
    <row r="3" spans="1:9" x14ac:dyDescent="0.35">
      <c r="A3" t="s">
        <v>18</v>
      </c>
      <c r="B3">
        <v>0.1810913563699236</v>
      </c>
      <c r="C3">
        <v>-0.37816040165761888</v>
      </c>
      <c r="D3">
        <v>1.8049415975526169E-2</v>
      </c>
      <c r="E3">
        <v>2.4229499861337309E-2</v>
      </c>
      <c r="F3">
        <v>0.67288107644997919</v>
      </c>
      <c r="G3">
        <v>44257</v>
      </c>
      <c r="H3">
        <v>46080</v>
      </c>
      <c r="I3">
        <v>1255</v>
      </c>
    </row>
    <row r="4" spans="1:9" x14ac:dyDescent="0.35">
      <c r="A4" t="s">
        <v>19</v>
      </c>
      <c r="B4">
        <v>0.15966248822458279</v>
      </c>
      <c r="C4">
        <v>-0.29531819227450751</v>
      </c>
      <c r="D4">
        <v>1.5185683472949071E-2</v>
      </c>
      <c r="E4">
        <v>2.152907913923751E-2</v>
      </c>
      <c r="F4">
        <v>0.80451146121803785</v>
      </c>
      <c r="G4">
        <v>44257</v>
      </c>
      <c r="H4">
        <v>46080</v>
      </c>
      <c r="I4">
        <v>1255</v>
      </c>
    </row>
    <row r="5" spans="1:9" x14ac:dyDescent="0.35">
      <c r="A5" t="s">
        <v>20</v>
      </c>
      <c r="B5">
        <v>0.17110788491821649</v>
      </c>
      <c r="C5">
        <v>-0.2103284420378303</v>
      </c>
      <c r="D5">
        <v>1.566715753680948E-2</v>
      </c>
      <c r="E5">
        <v>2.3911085958253461E-2</v>
      </c>
      <c r="F5">
        <v>0.1163524389535139</v>
      </c>
      <c r="G5">
        <v>44257</v>
      </c>
      <c r="H5">
        <v>46080</v>
      </c>
      <c r="I5">
        <v>1255</v>
      </c>
    </row>
    <row r="6" spans="1:9" x14ac:dyDescent="0.35">
      <c r="A6" t="s">
        <v>21</v>
      </c>
      <c r="B6">
        <v>7.476614812839294E-2</v>
      </c>
      <c r="C6">
        <v>-0.15790224344874271</v>
      </c>
      <c r="D6">
        <v>7.245665710777058E-3</v>
      </c>
      <c r="E6">
        <v>1.101443492986681E-2</v>
      </c>
      <c r="F6">
        <v>0.75031475150023086</v>
      </c>
      <c r="G6">
        <v>44257</v>
      </c>
      <c r="H6">
        <v>46080</v>
      </c>
      <c r="I6">
        <v>1255</v>
      </c>
    </row>
    <row r="7" spans="1:9" x14ac:dyDescent="0.35">
      <c r="A7" t="s">
        <v>22</v>
      </c>
      <c r="B7">
        <v>7.6800405540847327E-2</v>
      </c>
      <c r="C7">
        <v>-0.2140015130835812</v>
      </c>
      <c r="D7">
        <v>7.7455201535864271E-3</v>
      </c>
      <c r="E7">
        <v>1.0234768825519099E-2</v>
      </c>
      <c r="F7">
        <v>6.4217833844964933E-2</v>
      </c>
      <c r="G7">
        <v>44257</v>
      </c>
      <c r="H7">
        <v>46080</v>
      </c>
      <c r="I7">
        <v>1255</v>
      </c>
    </row>
    <row r="8" spans="1:9" x14ac:dyDescent="0.35">
      <c r="A8" t="s">
        <v>23</v>
      </c>
      <c r="B8">
        <v>0.22670722270902141</v>
      </c>
      <c r="C8">
        <v>-0.31911647712298208</v>
      </c>
      <c r="D8">
        <v>2.254910943794072E-2</v>
      </c>
      <c r="E8">
        <v>3.0725850090931268E-2</v>
      </c>
      <c r="F8">
        <v>0.8392301853361257</v>
      </c>
      <c r="G8">
        <v>44257</v>
      </c>
      <c r="H8">
        <v>46080</v>
      </c>
      <c r="I8">
        <v>1255</v>
      </c>
    </row>
    <row r="9" spans="1:9" x14ac:dyDescent="0.35">
      <c r="A9" t="s">
        <v>24</v>
      </c>
      <c r="B9">
        <v>8.6370059719546616E-2</v>
      </c>
      <c r="C9">
        <v>-0.24954857491138241</v>
      </c>
      <c r="D9">
        <v>9.5377410473716871E-3</v>
      </c>
      <c r="E9">
        <v>1.214695189471415E-2</v>
      </c>
      <c r="F9">
        <v>0.35832991157223321</v>
      </c>
      <c r="G9">
        <v>44257</v>
      </c>
      <c r="H9">
        <v>46080</v>
      </c>
      <c r="I9">
        <v>1255</v>
      </c>
    </row>
    <row r="10" spans="1:9" x14ac:dyDescent="0.35">
      <c r="A10" t="s">
        <v>25</v>
      </c>
      <c r="B10">
        <v>0.2250510486939977</v>
      </c>
      <c r="C10">
        <v>-0.35118725715687849</v>
      </c>
      <c r="D10">
        <v>2.3324092623666241E-2</v>
      </c>
      <c r="E10">
        <v>3.2349710215988522E-2</v>
      </c>
      <c r="F10">
        <v>0.94743684112341831</v>
      </c>
      <c r="G10">
        <v>44257</v>
      </c>
      <c r="H10">
        <v>46080</v>
      </c>
      <c r="I10">
        <v>1255</v>
      </c>
    </row>
    <row r="11" spans="1:9" x14ac:dyDescent="0.35">
      <c r="A11" t="s">
        <v>26</v>
      </c>
      <c r="B11">
        <v>0.17000155489793409</v>
      </c>
      <c r="C11">
        <v>-0.24496398538911371</v>
      </c>
      <c r="D11">
        <v>1.6446518522330929E-2</v>
      </c>
      <c r="E11">
        <v>2.456778274922029E-2</v>
      </c>
      <c r="F11">
        <v>1</v>
      </c>
      <c r="G11">
        <v>44257</v>
      </c>
      <c r="H11">
        <v>46080</v>
      </c>
      <c r="I11">
        <v>1255</v>
      </c>
    </row>
    <row r="12" spans="1:9" x14ac:dyDescent="0.35">
      <c r="A12" t="s">
        <v>27</v>
      </c>
      <c r="B12">
        <v>0.15909489507762001</v>
      </c>
      <c r="C12">
        <v>-0.43696514184202662</v>
      </c>
      <c r="D12">
        <v>1.675772808604508E-2</v>
      </c>
      <c r="E12">
        <v>2.1560359043971598E-2</v>
      </c>
      <c r="F12">
        <v>6.4741952659241223E-2</v>
      </c>
      <c r="G12">
        <v>44257</v>
      </c>
      <c r="H12">
        <v>46080</v>
      </c>
      <c r="I12">
        <v>1255</v>
      </c>
    </row>
    <row r="13" spans="1:9" x14ac:dyDescent="0.35">
      <c r="A13" t="s">
        <v>28</v>
      </c>
      <c r="B13">
        <v>0.18817772315559189</v>
      </c>
      <c r="C13">
        <v>-0.34478530496970727</v>
      </c>
      <c r="D13">
        <v>1.9746115215623899E-2</v>
      </c>
      <c r="E13">
        <v>2.71256709636854E-2</v>
      </c>
      <c r="F13">
        <v>0.68349042171578001</v>
      </c>
      <c r="G13">
        <v>44257</v>
      </c>
      <c r="H13">
        <v>46080</v>
      </c>
      <c r="I13">
        <v>1255</v>
      </c>
    </row>
    <row r="14" spans="1:9" x14ac:dyDescent="0.35">
      <c r="A14" t="s">
        <v>1</v>
      </c>
      <c r="B14">
        <v>0.1078445441710108</v>
      </c>
      <c r="C14">
        <v>-0.21520667554371911</v>
      </c>
      <c r="D14">
        <v>1.045094746869844E-2</v>
      </c>
      <c r="E14">
        <v>1.528326018988327E-2</v>
      </c>
      <c r="G14">
        <v>44257</v>
      </c>
      <c r="H14">
        <v>46080</v>
      </c>
      <c r="I14">
        <v>1255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98CB-5977-45DF-8D5F-76C214811960}">
  <dimension ref="A1:M13"/>
  <sheetViews>
    <sheetView workbookViewId="0">
      <selection sqref="A1:M13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6" width="11.81640625" bestFit="1" customWidth="1"/>
    <col min="7" max="7" width="12.453125" bestFit="1" customWidth="1"/>
    <col min="8" max="11" width="11.81640625" bestFit="1" customWidth="1"/>
    <col min="12" max="12" width="12.453125" bestFit="1" customWidth="1"/>
    <col min="13" max="13" width="11.81640625" bestFit="1" customWidth="1"/>
  </cols>
  <sheetData>
    <row r="1" spans="1:13" x14ac:dyDescent="0.35">
      <c r="A1" t="s">
        <v>8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35">
      <c r="A2" t="s">
        <v>17</v>
      </c>
      <c r="B2">
        <v>1</v>
      </c>
      <c r="C2">
        <v>0.29489127090030498</v>
      </c>
      <c r="D2">
        <v>0.26152309882603297</v>
      </c>
      <c r="E2">
        <v>0.38083818463824898</v>
      </c>
      <c r="F2">
        <v>0.20356816199017269</v>
      </c>
      <c r="G2">
        <v>-6.2907501706231023E-2</v>
      </c>
      <c r="H2">
        <v>0.2482326289525266</v>
      </c>
      <c r="I2">
        <v>1.7414272865209319E-2</v>
      </c>
      <c r="J2">
        <v>0.17611701193608481</v>
      </c>
      <c r="K2">
        <v>0.23726768167599629</v>
      </c>
      <c r="L2">
        <v>-9.1576708159930326E-2</v>
      </c>
      <c r="M2">
        <v>0.1486173475391413</v>
      </c>
    </row>
    <row r="3" spans="1:13" x14ac:dyDescent="0.35">
      <c r="A3" t="s">
        <v>18</v>
      </c>
      <c r="B3">
        <v>0.29489127090030498</v>
      </c>
      <c r="C3">
        <v>1</v>
      </c>
      <c r="D3">
        <v>0.78272794549461755</v>
      </c>
      <c r="E3">
        <v>0.30154226487880498</v>
      </c>
      <c r="F3">
        <v>0.58073329211270119</v>
      </c>
      <c r="G3">
        <v>7.236980087973223E-2</v>
      </c>
      <c r="H3">
        <v>0.65130259298470228</v>
      </c>
      <c r="I3">
        <v>0.29669925524434182</v>
      </c>
      <c r="J3">
        <v>0.66994639288025204</v>
      </c>
      <c r="K3">
        <v>0.67288107644997908</v>
      </c>
      <c r="L3">
        <v>6.6379704277574628E-2</v>
      </c>
      <c r="M3">
        <v>0.47604199995451107</v>
      </c>
    </row>
    <row r="4" spans="1:13" x14ac:dyDescent="0.35">
      <c r="A4" t="s">
        <v>19</v>
      </c>
      <c r="B4">
        <v>0.26152309882603297</v>
      </c>
      <c r="C4">
        <v>0.78272794549461755</v>
      </c>
      <c r="D4">
        <v>1</v>
      </c>
      <c r="E4">
        <v>0.27268464232090572</v>
      </c>
      <c r="F4">
        <v>0.70436409196650329</v>
      </c>
      <c r="G4">
        <v>0.13377180157962379</v>
      </c>
      <c r="H4">
        <v>0.74749713850337673</v>
      </c>
      <c r="I4">
        <v>0.38813505369487489</v>
      </c>
      <c r="J4">
        <v>0.7291451206620857</v>
      </c>
      <c r="K4">
        <v>0.80451146121803663</v>
      </c>
      <c r="L4">
        <v>0.1099600603702077</v>
      </c>
      <c r="M4">
        <v>0.64277113591806123</v>
      </c>
    </row>
    <row r="5" spans="1:13" x14ac:dyDescent="0.35">
      <c r="A5" t="s">
        <v>20</v>
      </c>
      <c r="B5">
        <v>0.38083818463824898</v>
      </c>
      <c r="C5">
        <v>0.30154226487880498</v>
      </c>
      <c r="D5">
        <v>0.27268464232090572</v>
      </c>
      <c r="E5">
        <v>1</v>
      </c>
      <c r="F5">
        <v>0.21962673922892631</v>
      </c>
      <c r="G5">
        <v>0.30337620270945698</v>
      </c>
      <c r="H5">
        <v>0.13746248541288469</v>
      </c>
      <c r="I5">
        <v>0.27914136582463839</v>
      </c>
      <c r="J5">
        <v>0.1099585728199084</v>
      </c>
      <c r="K5">
        <v>0.1163524389535137</v>
      </c>
      <c r="L5">
        <v>0.220568317848781</v>
      </c>
      <c r="M5">
        <v>0.1699092302965314</v>
      </c>
    </row>
    <row r="6" spans="1:13" x14ac:dyDescent="0.35">
      <c r="A6" t="s">
        <v>21</v>
      </c>
      <c r="B6">
        <v>0.20356816199017269</v>
      </c>
      <c r="C6">
        <v>0.58073329211270119</v>
      </c>
      <c r="D6">
        <v>0.70436409196650329</v>
      </c>
      <c r="E6">
        <v>0.21962673922892631</v>
      </c>
      <c r="F6">
        <v>1</v>
      </c>
      <c r="G6">
        <v>0.4447275335058864</v>
      </c>
      <c r="H6">
        <v>0.70620924863282541</v>
      </c>
      <c r="I6">
        <v>0.68747331684507551</v>
      </c>
      <c r="J6">
        <v>0.70782110565581935</v>
      </c>
      <c r="K6">
        <v>0.75031475150023041</v>
      </c>
      <c r="L6">
        <v>0.39673809875970251</v>
      </c>
      <c r="M6">
        <v>0.66913457969871981</v>
      </c>
    </row>
    <row r="7" spans="1:13" x14ac:dyDescent="0.35">
      <c r="A7" t="s">
        <v>22</v>
      </c>
      <c r="B7">
        <v>-6.2907501706231023E-2</v>
      </c>
      <c r="C7">
        <v>7.236980087973223E-2</v>
      </c>
      <c r="D7">
        <v>0.13377180157962379</v>
      </c>
      <c r="E7">
        <v>0.30337620270945698</v>
      </c>
      <c r="F7">
        <v>0.4447275335058864</v>
      </c>
      <c r="G7">
        <v>1</v>
      </c>
      <c r="H7">
        <v>7.7328970795798535E-2</v>
      </c>
      <c r="I7">
        <v>0.88104883560863079</v>
      </c>
      <c r="J7">
        <v>7.3203321548179656E-2</v>
      </c>
      <c r="K7">
        <v>6.4217833844964906E-2</v>
      </c>
      <c r="L7">
        <v>0.91132331609875816</v>
      </c>
      <c r="M7">
        <v>0.28947978722789941</v>
      </c>
    </row>
    <row r="8" spans="1:13" x14ac:dyDescent="0.35">
      <c r="A8" t="s">
        <v>23</v>
      </c>
      <c r="B8">
        <v>0.2482326289525266</v>
      </c>
      <c r="C8">
        <v>0.65130259298470228</v>
      </c>
      <c r="D8">
        <v>0.74749713850337673</v>
      </c>
      <c r="E8">
        <v>0.13746248541288469</v>
      </c>
      <c r="F8">
        <v>0.70620924863282541</v>
      </c>
      <c r="G8">
        <v>7.7328970795798535E-2</v>
      </c>
      <c r="H8">
        <v>1</v>
      </c>
      <c r="I8">
        <v>0.34385452194850391</v>
      </c>
      <c r="J8">
        <v>0.75977924301881261</v>
      </c>
      <c r="K8">
        <v>0.8392301853361237</v>
      </c>
      <c r="L8">
        <v>7.4641039375419091E-2</v>
      </c>
      <c r="M8">
        <v>0.70773446006395058</v>
      </c>
    </row>
    <row r="9" spans="1:13" x14ac:dyDescent="0.35">
      <c r="A9" t="s">
        <v>24</v>
      </c>
      <c r="B9">
        <v>1.7414272865209319E-2</v>
      </c>
      <c r="C9">
        <v>0.29669925524434182</v>
      </c>
      <c r="D9">
        <v>0.38813505369487489</v>
      </c>
      <c r="E9">
        <v>0.27914136582463839</v>
      </c>
      <c r="F9">
        <v>0.68747331684507551</v>
      </c>
      <c r="G9">
        <v>0.88104883560863079</v>
      </c>
      <c r="H9">
        <v>0.34385452194850391</v>
      </c>
      <c r="I9">
        <v>1</v>
      </c>
      <c r="J9">
        <v>0.34771354688973988</v>
      </c>
      <c r="K9">
        <v>0.35832991157223321</v>
      </c>
      <c r="L9">
        <v>0.8771078914409306</v>
      </c>
      <c r="M9">
        <v>0.47213661320182287</v>
      </c>
    </row>
    <row r="10" spans="1:13" x14ac:dyDescent="0.35">
      <c r="A10" t="s">
        <v>25</v>
      </c>
      <c r="B10">
        <v>0.17611701193608481</v>
      </c>
      <c r="C10">
        <v>0.66994639288025204</v>
      </c>
      <c r="D10">
        <v>0.7291451206620857</v>
      </c>
      <c r="E10">
        <v>0.1099585728199084</v>
      </c>
      <c r="F10">
        <v>0.70782110565581935</v>
      </c>
      <c r="G10">
        <v>7.3203321548179656E-2</v>
      </c>
      <c r="H10">
        <v>0.75977924301881261</v>
      </c>
      <c r="I10">
        <v>0.34771354688973988</v>
      </c>
      <c r="J10">
        <v>1</v>
      </c>
      <c r="K10">
        <v>0.94743684112341908</v>
      </c>
      <c r="L10">
        <v>7.3653034984723087E-2</v>
      </c>
      <c r="M10">
        <v>0.55533642402779448</v>
      </c>
    </row>
    <row r="11" spans="1:13" x14ac:dyDescent="0.35">
      <c r="A11" t="s">
        <v>26</v>
      </c>
      <c r="B11">
        <v>0.23726768167599629</v>
      </c>
      <c r="C11">
        <v>0.67288107644997908</v>
      </c>
      <c r="D11">
        <v>0.80451146121803663</v>
      </c>
      <c r="E11">
        <v>0.1163524389535137</v>
      </c>
      <c r="F11">
        <v>0.75031475150023041</v>
      </c>
      <c r="G11">
        <v>6.4217833844964906E-2</v>
      </c>
      <c r="H11">
        <v>0.8392301853361237</v>
      </c>
      <c r="I11">
        <v>0.35832991157223321</v>
      </c>
      <c r="J11">
        <v>0.94743684112341908</v>
      </c>
      <c r="K11">
        <v>1</v>
      </c>
      <c r="L11">
        <v>6.4741952659241153E-2</v>
      </c>
      <c r="M11">
        <v>0.68349042171578045</v>
      </c>
    </row>
    <row r="12" spans="1:13" x14ac:dyDescent="0.35">
      <c r="A12" t="s">
        <v>27</v>
      </c>
      <c r="B12">
        <v>-9.1576708159930326E-2</v>
      </c>
      <c r="C12">
        <v>6.6379704277574628E-2</v>
      </c>
      <c r="D12">
        <v>0.1099600603702077</v>
      </c>
      <c r="E12">
        <v>0.220568317848781</v>
      </c>
      <c r="F12">
        <v>0.39673809875970251</v>
      </c>
      <c r="G12">
        <v>0.91132331609875816</v>
      </c>
      <c r="H12">
        <v>7.4641039375419091E-2</v>
      </c>
      <c r="I12">
        <v>0.8771078914409306</v>
      </c>
      <c r="J12">
        <v>7.3653034984723087E-2</v>
      </c>
      <c r="K12">
        <v>6.4741952659241153E-2</v>
      </c>
      <c r="L12">
        <v>1</v>
      </c>
      <c r="M12">
        <v>0.26818060286649348</v>
      </c>
    </row>
    <row r="13" spans="1:13" x14ac:dyDescent="0.35">
      <c r="A13" t="s">
        <v>28</v>
      </c>
      <c r="B13">
        <v>0.1486173475391413</v>
      </c>
      <c r="C13">
        <v>0.47604199995451107</v>
      </c>
      <c r="D13">
        <v>0.64277113591806123</v>
      </c>
      <c r="E13">
        <v>0.1699092302965314</v>
      </c>
      <c r="F13">
        <v>0.66913457969871981</v>
      </c>
      <c r="G13">
        <v>0.28947978722789941</v>
      </c>
      <c r="H13">
        <v>0.70773446006395058</v>
      </c>
      <c r="I13">
        <v>0.47213661320182287</v>
      </c>
      <c r="J13">
        <v>0.55533642402779448</v>
      </c>
      <c r="K13">
        <v>0.68349042171578045</v>
      </c>
      <c r="L13">
        <v>0.26818060286649348</v>
      </c>
      <c r="M1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0D6EA90D59540A8021D825FF8C1B4" ma:contentTypeVersion="5" ma:contentTypeDescription="Create a new document." ma:contentTypeScope="" ma:versionID="ed9e79b2900b33c005a030126d2cb130">
  <xsd:schema xmlns:xsd="http://www.w3.org/2001/XMLSchema" xmlns:xs="http://www.w3.org/2001/XMLSchema" xmlns:p="http://schemas.microsoft.com/office/2006/metadata/properties" xmlns:ns3="0cb5ecd4-f4dc-466b-a240-0aef20095dd9" targetNamespace="http://schemas.microsoft.com/office/2006/metadata/properties" ma:root="true" ma:fieldsID="10eb69b7e569c8989d745a63fafb07af" ns3:_="">
    <xsd:import namespace="0cb5ecd4-f4dc-466b-a240-0aef20095d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5ecd4-f4dc-466b-a240-0aef20095d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b5ecd4-f4dc-466b-a240-0aef20095dd9" xsi:nil="true"/>
  </documentManagement>
</p:properties>
</file>

<file path=customXml/itemProps1.xml><?xml version="1.0" encoding="utf-8"?>
<ds:datastoreItem xmlns:ds="http://schemas.openxmlformats.org/officeDocument/2006/customXml" ds:itemID="{FB84BCBC-1CEE-47A8-AF04-BF8CBA002B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b5ecd4-f4dc-466b-a240-0aef20095d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B01E8D-7A3B-4610-87BD-7EA244B6F8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916CDA-4596-4463-A6B9-91368262D78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30C695D-5A7F-4700-B41A-783BA614AB85}">
  <ds:schemaRefs>
    <ds:schemaRef ds:uri="http://purl.org/dc/elements/1.1/"/>
    <ds:schemaRef ds:uri="http://schemas.microsoft.com/office/2006/metadata/properties"/>
    <ds:schemaRef ds:uri="0cb5ecd4-f4dc-466b-a240-0aef20095dd9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Portfolio_Returns</vt:lpstr>
      <vt:lpstr>Portfolio_Calc</vt:lpstr>
      <vt:lpstr>Dashboard</vt:lpstr>
      <vt:lpstr>Sheet1</vt:lpstr>
      <vt:lpstr>Summary</vt:lpstr>
      <vt:lpstr>CorrMatrix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Van</dc:creator>
  <cp:lastModifiedBy>Khoi Van</cp:lastModifiedBy>
  <cp:lastPrinted>2026-03-22T05:32:37Z</cp:lastPrinted>
  <dcterms:created xsi:type="dcterms:W3CDTF">2026-03-02T05:31:16Z</dcterms:created>
  <dcterms:modified xsi:type="dcterms:W3CDTF">2026-03-31T01:14:13Z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0x0101005900D6EA90D59540A8021D825FF8C1B4</vt:lpwstr>
  </property>
</Properties>
</file>